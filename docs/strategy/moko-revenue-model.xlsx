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Monthly" sheetId="3" state="visible" r:id="rId3"/>
    <sheet name="All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3" fontId="0" fillId="0" borderId="0" pivotButton="0" quotePrefix="0" xfId="0"/>
    <xf numFmtId="0" fontId="1" fillId="2" borderId="0" pivotButton="0" quotePrefix="0" xfId="0"/>
    <xf numFmtId="3" fontId="0" fillId="2" borderId="0" pivotButton="0" quotePrefix="0" xfId="0"/>
    <xf numFmtId="3" fontId="1" fillId="0" borderId="0" pivotButton="0" quotePrefix="0" xfId="0"/>
    <xf numFmtId="164" fontId="0" fillId="2" borderId="0" pivotButton="0" quotePrefix="0" xfId="0"/>
    <xf numFmtId="164" fontId="1" fillId="0" borderId="0" pivotButton="0" quotePrefix="0" xfId="0"/>
    <xf numFmtId="4" fontId="0" fillId="2" borderId="0" pivotButton="0" quotePrefix="0" xfId="0"/>
    <xf numFmtId="4" fontId="1" fillId="0" borderId="0" pivotButton="0" quotePrefix="0" xfId="0"/>
    <xf numFmtId="0" fontId="1" fillId="3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Selected scenario:</t>
        </is>
      </c>
      <c r="B1" s="1">
        <f>Assumptions!B2</f>
        <v/>
      </c>
    </row>
    <row r="3">
      <c r="A3" s="2" t="inlineStr"/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</row>
    <row r="4">
      <c r="A4" t="inlineStr">
        <is>
          <t>New free sign-ups</t>
        </is>
      </c>
      <c r="B4" s="3">
        <f>SUMIF(Monthly!$B$2:$B$37,1,Monthly!D$2:D$37)</f>
        <v/>
      </c>
      <c r="C4" s="3">
        <f>SUMIF(Monthly!$B$2:$B$37,2,Monthly!D$2:D$37)</f>
        <v/>
      </c>
      <c r="D4" s="3">
        <f>SUMIF(Monthly!$B$2:$B$37,3,Monthly!D$2:D$37)</f>
        <v/>
      </c>
    </row>
    <row r="5">
      <c r="A5" t="inlineStr">
        <is>
          <t>Subscription revenue</t>
        </is>
      </c>
      <c r="B5" s="3">
        <f>SUMIF(Monthly!$B$2:$B$37,1,Monthly!G$2:G$37)</f>
        <v/>
      </c>
      <c r="C5" s="3">
        <f>SUMIF(Monthly!$B$2:$B$37,2,Monthly!G$2:G$37)</f>
        <v/>
      </c>
      <c r="D5" s="3">
        <f>SUMIF(Monthly!$B$2:$B$37,3,Monthly!G$2:G$37)</f>
        <v/>
      </c>
    </row>
    <row r="6">
      <c r="A6" t="inlineStr">
        <is>
          <t>Production commission</t>
        </is>
      </c>
      <c r="B6" s="3">
        <f>SUMIF(Monthly!$B$2:$B$37,1,Monthly!J$2:J$37)</f>
        <v/>
      </c>
      <c r="C6" s="3">
        <f>SUMIF(Monthly!$B$2:$B$37,2,Monthly!J$2:J$37)</f>
        <v/>
      </c>
      <c r="D6" s="3">
        <f>SUMIF(Monthly!$B$2:$B$37,3,Monthly!J$2:J$37)</f>
        <v/>
      </c>
    </row>
    <row r="7">
      <c r="A7" t="inlineStr">
        <is>
          <t>Sales commission</t>
        </is>
      </c>
      <c r="B7" s="3">
        <f>SUMIF(Monthly!$B$2:$B$37,1,Monthly!L$2:L$37)</f>
        <v/>
      </c>
      <c r="C7" s="3">
        <f>SUMIF(Monthly!$B$2:$B$37,2,Monthly!L$2:L$37)</f>
        <v/>
      </c>
      <c r="D7" s="3">
        <f>SUMIF(Monthly!$B$2:$B$37,3,Monthly!L$2:L$37)</f>
        <v/>
      </c>
    </row>
    <row r="8">
      <c r="A8" t="inlineStr">
        <is>
          <t>Manufacturer lead fees</t>
        </is>
      </c>
      <c r="B8" s="3">
        <f>SUMIF(Monthly!$B$2:$B$37,1,Monthly!M$2:M$37)</f>
        <v/>
      </c>
      <c r="C8" s="3">
        <f>SUMIF(Monthly!$B$2:$B$37,2,Monthly!M$2:M$37)</f>
        <v/>
      </c>
      <c r="D8" s="3">
        <f>SUMIF(Monthly!$B$2:$B$37,3,Monthly!M$2:M$37)</f>
        <v/>
      </c>
    </row>
    <row r="9">
      <c r="A9" s="1" t="inlineStr">
        <is>
          <t>Total revenue</t>
        </is>
      </c>
      <c r="B9" s="3">
        <f>SUMIF(Monthly!$B$2:$B$37,1,Monthly!N$2:N$37)</f>
        <v/>
      </c>
      <c r="C9" s="3">
        <f>SUMIF(Monthly!$B$2:$B$37,2,Monthly!N$2:N$37)</f>
        <v/>
      </c>
      <c r="D9" s="3">
        <f>SUMIF(Monthly!$B$2:$B$37,3,Monthly!N$2:N$37)</f>
        <v/>
      </c>
    </row>
    <row r="10">
      <c r="A10" t="inlineStr">
        <is>
          <t>AI cost</t>
        </is>
      </c>
      <c r="B10" s="3">
        <f>SUMIF(Monthly!$B$2:$B$37,1,Monthly!O$2:O$37)</f>
        <v/>
      </c>
      <c r="C10" s="3">
        <f>SUMIF(Monthly!$B$2:$B$37,2,Monthly!O$2:O$37)</f>
        <v/>
      </c>
      <c r="D10" s="3">
        <f>SUMIF(Monthly!$B$2:$B$37,3,Monthly!O$2:O$37)</f>
        <v/>
      </c>
    </row>
    <row r="11">
      <c r="A11" t="inlineStr">
        <is>
          <t>Payment costs</t>
        </is>
      </c>
      <c r="B11" s="3">
        <f>SUMIF(Monthly!$B$2:$B$37,1,Monthly!P$2:P$37)</f>
        <v/>
      </c>
      <c r="C11" s="3">
        <f>SUMIF(Monthly!$B$2:$B$37,2,Monthly!P$2:P$37)</f>
        <v/>
      </c>
      <c r="D11" s="3">
        <f>SUMIF(Monthly!$B$2:$B$37,3,Monthly!P$2:P$37)</f>
        <v/>
      </c>
    </row>
    <row r="12">
      <c r="A12" t="inlineStr">
        <is>
          <t>Marketing + ops (variable)</t>
        </is>
      </c>
      <c r="B12" s="3">
        <f>SUMIF(Monthly!$B$2:$B$37,1,Monthly!Q$2:Q$37)</f>
        <v/>
      </c>
      <c r="C12" s="3">
        <f>SUMIF(Monthly!$B$2:$B$37,2,Monthly!Q$2:Q$37)</f>
        <v/>
      </c>
      <c r="D12" s="3">
        <f>SUMIF(Monthly!$B$2:$B$37,3,Monthly!Q$2:Q$37)</f>
        <v/>
      </c>
    </row>
    <row r="13">
      <c r="A13" t="inlineStr">
        <is>
          <t>Fixed costs (hosting, marketing, team)</t>
        </is>
      </c>
      <c r="B13" s="3">
        <f>SUMIF(Monthly!$B$2:$B$37,1,Monthly!R$2:R$37)</f>
        <v/>
      </c>
      <c r="C13" s="3">
        <f>SUMIF(Monthly!$B$2:$B$37,2,Monthly!R$2:R$37)</f>
        <v/>
      </c>
      <c r="D13" s="3">
        <f>SUMIF(Monthly!$B$2:$B$37,3,Monthly!R$2:R$37)</f>
        <v/>
      </c>
    </row>
    <row r="14">
      <c r="A14" t="inlineStr">
        <is>
          <t>Total costs</t>
        </is>
      </c>
      <c r="B14" s="3">
        <f>SUMIF(Monthly!$B$2:$B$37,1,Monthly!S$2:S$37)</f>
        <v/>
      </c>
      <c r="C14" s="3">
        <f>SUMIF(Monthly!$B$2:$B$37,2,Monthly!S$2:S$37)</f>
        <v/>
      </c>
      <c r="D14" s="3">
        <f>SUMIF(Monthly!$B$2:$B$37,3,Monthly!S$2:S$37)</f>
        <v/>
      </c>
    </row>
    <row r="15">
      <c r="A15" s="1" t="inlineStr">
        <is>
          <t>Profit</t>
        </is>
      </c>
      <c r="B15" s="3">
        <f>SUMIF(Monthly!$B$2:$B$37,1,Monthly!T$2:T$37)</f>
        <v/>
      </c>
      <c r="C15" s="3">
        <f>SUMIF(Monthly!$B$2:$B$37,2,Monthly!T$2:T$37)</f>
        <v/>
      </c>
      <c r="D15" s="3">
        <f>SUMIF(Monthly!$B$2:$B$37,3,Monthly!T$2:T$37)</f>
        <v/>
      </c>
    </row>
    <row r="16">
      <c r="A16" t="inlineStr">
        <is>
          <t>Production run value we coordinate</t>
        </is>
      </c>
      <c r="B16" s="3">
        <f>SUMIF(Monthly!$B$2:$B$37,1,Monthly!I$2:I$37)</f>
        <v/>
      </c>
      <c r="C16" s="3">
        <f>SUMIF(Monthly!$B$2:$B$37,2,Monthly!I$2:I$37)</f>
        <v/>
      </c>
      <c r="D16" s="3">
        <f>SUMIF(Monthly!$B$2:$B$37,3,Monthly!I$2:I$37)</f>
        <v/>
      </c>
    </row>
    <row r="17">
      <c r="A17" t="inlineStr">
        <is>
          <t>Paying subscribers at year end</t>
        </is>
      </c>
      <c r="B17" s="3">
        <f>Monthly!F13</f>
        <v/>
      </c>
      <c r="C17" s="3">
        <f>Monthly!F25</f>
        <v/>
      </c>
      <c r="D17" s="3">
        <f>Monthly!F37</f>
        <v/>
      </c>
    </row>
    <row r="18">
      <c r="A18" t="inlineStr">
        <is>
          <t>Monthly revenue at year end</t>
        </is>
      </c>
      <c r="B18" s="3">
        <f>Monthly!N13</f>
        <v/>
      </c>
      <c r="C18" s="3">
        <f>Monthly!N25</f>
        <v/>
      </c>
      <c r="D18" s="3">
        <f>Monthly!N37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1" customWidth="1" min="4" max="4"/>
    <col width="11" customWidth="1" min="5" max="5"/>
    <col width="70" customWidth="1" min="7" max="7"/>
  </cols>
  <sheetData>
    <row r="1">
      <c r="A1" s="1" t="inlineStr">
        <is>
          <t>Moko revenue model (draft, 27 Sep 2026). Yellow cells are inputs. Pick a scenario in B2.</t>
        </is>
      </c>
    </row>
    <row r="2">
      <c r="A2" t="inlineStr">
        <is>
          <t>Scenario</t>
        </is>
      </c>
      <c r="B2" s="4" t="inlineStr">
        <is>
          <t>Base</t>
        </is>
      </c>
    </row>
    <row r="4">
      <c r="A4" s="2" t="inlineStr">
        <is>
          <t>Assumption</t>
        </is>
      </c>
      <c r="B4" s="2" t="inlineStr">
        <is>
          <t>Low</t>
        </is>
      </c>
      <c r="C4" s="2" t="inlineStr">
        <is>
          <t>Base</t>
        </is>
      </c>
      <c r="D4" s="2" t="inlineStr">
        <is>
          <t>High</t>
        </is>
      </c>
      <c r="E4" s="2" t="inlineStr">
        <is>
          <t>Selected</t>
        </is>
      </c>
      <c r="F4" s="2" t="inlineStr">
        <is>
          <t>Unit</t>
        </is>
      </c>
      <c r="G4" s="2" t="inlineStr">
        <is>
          <t>Where it comes from</t>
        </is>
      </c>
    </row>
    <row r="5">
      <c r="A5" t="inlineStr">
        <is>
          <t>New free sign-ups in month 1</t>
        </is>
      </c>
      <c r="B5" s="5" t="n">
        <v>150</v>
      </c>
      <c r="C5" s="5" t="n">
        <v>300</v>
      </c>
      <c r="D5" s="5" t="n">
        <v>600</v>
      </c>
      <c r="E5" s="6">
        <f>INDEX(B5:D5,MATCH($B$2,$B$4:$D$4,0))</f>
        <v/>
      </c>
      <c r="F5" t="inlineStr">
        <is>
          <t>count</t>
        </is>
      </c>
      <c r="G5" t="inlineStr">
        <is>
          <t>Assumption: launch posts in maker communities</t>
        </is>
      </c>
    </row>
    <row r="6">
      <c r="A6" t="inlineStr">
        <is>
          <t>Monthly sign-up growth, year 1</t>
        </is>
      </c>
      <c r="B6" s="7" t="n">
        <v>0.1</v>
      </c>
      <c r="C6" s="7" t="n">
        <v>0.15</v>
      </c>
      <c r="D6" s="7" t="n">
        <v>0.2</v>
      </c>
      <c r="E6" s="8">
        <f>INDEX(B6:D6,MATCH($B$2,$B$4:$D$4,0))</f>
        <v/>
      </c>
      <c r="F6" t="inlineStr">
        <is>
          <t>%</t>
        </is>
      </c>
      <c r="G6" t="inlineStr">
        <is>
          <t>Assumption</t>
        </is>
      </c>
    </row>
    <row r="7">
      <c r="A7" t="inlineStr">
        <is>
          <t>Monthly sign-up growth, year 2</t>
        </is>
      </c>
      <c r="B7" s="7" t="n">
        <v>0.05</v>
      </c>
      <c r="C7" s="7" t="n">
        <v>0.08</v>
      </c>
      <c r="D7" s="7" t="n">
        <v>0.1</v>
      </c>
      <c r="E7" s="8">
        <f>INDEX(B7:D7,MATCH($B$2,$B$4:$D$4,0))</f>
        <v/>
      </c>
      <c r="F7" t="inlineStr">
        <is>
          <t>%</t>
        </is>
      </c>
      <c r="G7" t="inlineStr">
        <is>
          <t>Assumption</t>
        </is>
      </c>
    </row>
    <row r="8">
      <c r="A8" t="inlineStr">
        <is>
          <t>Monthly sign-up growth, year 3</t>
        </is>
      </c>
      <c r="B8" s="7" t="n">
        <v>0.03</v>
      </c>
      <c r="C8" s="7" t="n">
        <v>0.04</v>
      </c>
      <c r="D8" s="7" t="n">
        <v>0.05</v>
      </c>
      <c r="E8" s="8">
        <f>INDEX(B8:D8,MATCH($B$2,$B$4:$D$4,0))</f>
        <v/>
      </c>
      <c r="F8" t="inlineStr">
        <is>
          <t>%</t>
        </is>
      </c>
      <c r="G8" t="inlineStr">
        <is>
          <t>Assumption</t>
        </is>
      </c>
    </row>
    <row r="9">
      <c r="A9" t="inlineStr">
        <is>
          <t>Free sign-ups who become paying subscribers</t>
        </is>
      </c>
      <c r="B9" s="7" t="n">
        <v>0.02</v>
      </c>
      <c r="C9" s="7" t="n">
        <v>0.04</v>
      </c>
      <c r="D9" s="7" t="n">
        <v>0.07000000000000001</v>
      </c>
      <c r="E9" s="8">
        <f>INDEX(B9:D9,MATCH($B$2,$B$4:$D$4,0))</f>
        <v/>
      </c>
      <c r="F9" t="inlineStr">
        <is>
          <t>%</t>
        </is>
      </c>
      <c r="G9" t="inlineStr">
        <is>
          <t>Lenny's Newsletter: 3-5% good, 6-8% great for freemium self-serve</t>
        </is>
      </c>
    </row>
    <row r="10">
      <c r="A10" t="inlineStr">
        <is>
          <t>Average subscription revenue per subscriber per month</t>
        </is>
      </c>
      <c r="B10" s="5" t="n">
        <v>22</v>
      </c>
      <c r="C10" s="5" t="n">
        <v>25</v>
      </c>
      <c r="D10" s="5" t="n">
        <v>27</v>
      </c>
      <c r="E10" s="6">
        <f>INDEX(B10:D10,MATCH($B$2,$B$4:$D$4,0))</f>
        <v/>
      </c>
      <c r="F10" t="inlineStr">
        <is>
          <t>$</t>
        </is>
      </c>
      <c r="G10" t="inlineStr">
        <is>
          <t>$29/mo list, $19/mo yearly; blended</t>
        </is>
      </c>
    </row>
    <row r="11">
      <c r="A11" t="inlineStr">
        <is>
          <t>Monthly subscriber churn</t>
        </is>
      </c>
      <c r="B11" s="7" t="n">
        <v>0.1</v>
      </c>
      <c r="C11" s="7" t="n">
        <v>0.07000000000000001</v>
      </c>
      <c r="D11" s="7" t="n">
        <v>0.05</v>
      </c>
      <c r="E11" s="8">
        <f>INDEX(B11:D11,MATCH($B$2,$B$4:$D$4,0))</f>
        <v/>
      </c>
      <c r="F11" t="inlineStr">
        <is>
          <t>%</t>
        </is>
      </c>
      <c r="G11" t="inlineStr">
        <is>
          <t>Assumption for consumer/prosumer tools</t>
        </is>
      </c>
    </row>
    <row r="12">
      <c r="A12" t="inlineStr">
        <is>
          <t>Share of subscribers placing a production run each month</t>
        </is>
      </c>
      <c r="B12" s="7" t="n">
        <v>0.02</v>
      </c>
      <c r="C12" s="7" t="n">
        <v>0.04</v>
      </c>
      <c r="D12" s="7" t="n">
        <v>0.06</v>
      </c>
      <c r="E12" s="8">
        <f>INDEX(B12:D12,MATCH($B$2,$B$4:$D$4,0))</f>
        <v/>
      </c>
      <c r="F12" t="inlineStr">
        <is>
          <t>%</t>
        </is>
      </c>
      <c r="G12" t="inlineStr">
        <is>
          <t>Assumption</t>
        </is>
      </c>
    </row>
    <row r="13">
      <c r="A13" t="inlineStr">
        <is>
          <t>Average production run value</t>
        </is>
      </c>
      <c r="B13" s="5" t="n">
        <v>2000</v>
      </c>
      <c r="C13" s="5" t="n">
        <v>3000</v>
      </c>
      <c r="D13" s="5" t="n">
        <v>5000</v>
      </c>
      <c r="E13" s="6">
        <f>INDEX(B13:D13,MATCH($B$2,$B$4:$D$4,0))</f>
        <v/>
      </c>
      <c r="F13" t="inlineStr">
        <is>
          <t>$</t>
        </is>
      </c>
      <c r="G13" t="inlineStr">
        <is>
          <t>Assumption: e.g. 250-500 units at $6-12</t>
        </is>
      </c>
    </row>
    <row r="14">
      <c r="A14" t="inlineStr">
        <is>
          <t>Commission on production runs</t>
        </is>
      </c>
      <c r="B14" s="7" t="n">
        <v>0.05</v>
      </c>
      <c r="C14" s="7" t="n">
        <v>0.06</v>
      </c>
      <c r="D14" s="7" t="n">
        <v>0.08</v>
      </c>
      <c r="E14" s="8">
        <f>INDEX(B14:D14,MATCH($B$2,$B$4:$D$4,0))</f>
        <v/>
      </c>
      <c r="F14" t="inlineStr">
        <is>
          <t>%</t>
        </is>
      </c>
      <c r="G14" t="inlineStr">
        <is>
          <t>Assumption; Xometry marketplace gross margin is 34.7%</t>
        </is>
      </c>
    </row>
    <row r="15">
      <c r="A15" t="inlineStr">
        <is>
          <t>Share of subscribers with a product on sale</t>
        </is>
      </c>
      <c r="B15" s="7" t="n">
        <v>0.1</v>
      </c>
      <c r="C15" s="7" t="n">
        <v>0.2</v>
      </c>
      <c r="D15" s="7" t="n">
        <v>0.3</v>
      </c>
      <c r="E15" s="8">
        <f>INDEX(B15:D15,MATCH($B$2,$B$4:$D$4,0))</f>
        <v/>
      </c>
      <c r="F15" t="inlineStr">
        <is>
          <t>%</t>
        </is>
      </c>
      <c r="G15" t="inlineStr">
        <is>
          <t>Assumption</t>
        </is>
      </c>
    </row>
    <row r="16">
      <c r="A16" t="inlineStr">
        <is>
          <t>Monthly sales per selling creator</t>
        </is>
      </c>
      <c r="B16" s="5" t="n">
        <v>500</v>
      </c>
      <c r="C16" s="5" t="n">
        <v>800</v>
      </c>
      <c r="D16" s="5" t="n">
        <v>1500</v>
      </c>
      <c r="E16" s="6">
        <f>INDEX(B16:D16,MATCH($B$2,$B$4:$D$4,0))</f>
        <v/>
      </c>
      <c r="F16" t="inlineStr">
        <is>
          <t>$</t>
        </is>
      </c>
      <c r="G16" t="inlineStr">
        <is>
          <t>Assumption</t>
        </is>
      </c>
    </row>
    <row r="17">
      <c r="A17" t="inlineStr">
        <is>
          <t>Commission on sales</t>
        </is>
      </c>
      <c r="B17" s="7" t="n">
        <v>0.03</v>
      </c>
      <c r="C17" s="7" t="n">
        <v>0.03</v>
      </c>
      <c r="D17" s="7" t="n">
        <v>0.04</v>
      </c>
      <c r="E17" s="8">
        <f>INDEX(B17:D17,MATCH($B$2,$B$4:$D$4,0))</f>
        <v/>
      </c>
      <c r="F17" t="inlineStr">
        <is>
          <t>%</t>
        </is>
      </c>
      <c r="G17" t="inlineStr">
        <is>
          <t>Assumption; billed by Moko (Etsy won't collect it)</t>
        </is>
      </c>
    </row>
    <row r="18">
      <c r="A18" t="inlineStr">
        <is>
          <t>Manufacturer quote requests per subscriber per month</t>
        </is>
      </c>
      <c r="B18" s="9" t="n">
        <v>0.1</v>
      </c>
      <c r="C18" s="9" t="n">
        <v>0.2</v>
      </c>
      <c r="D18" s="9" t="n">
        <v>0.3</v>
      </c>
      <c r="E18" s="10">
        <f>INDEX(B18:D18,MATCH($B$2,$B$4:$D$4,0))</f>
        <v/>
      </c>
      <c r="F18" t="inlineStr">
        <is>
          <t>count</t>
        </is>
      </c>
      <c r="G18" t="inlineStr">
        <is>
          <t>Assumption</t>
        </is>
      </c>
    </row>
    <row r="19">
      <c r="A19" t="inlineStr">
        <is>
          <t>Price a manufacturer pays per qualified quote request</t>
        </is>
      </c>
      <c r="B19" s="5" t="n">
        <v>15</v>
      </c>
      <c r="C19" s="5" t="n">
        <v>20</v>
      </c>
      <c r="D19" s="5" t="n">
        <v>30</v>
      </c>
      <c r="E19" s="6">
        <f>INDEX(B19:D19,MATCH($B$2,$B$4:$D$4,0))</f>
        <v/>
      </c>
      <c r="F19" t="inlineStr">
        <is>
          <t>$</t>
        </is>
      </c>
      <c r="G19" t="inlineStr">
        <is>
          <t>Assumption</t>
        </is>
      </c>
    </row>
    <row r="20">
      <c r="A20" t="inlineStr">
        <is>
          <t>Month production commissions start</t>
        </is>
      </c>
      <c r="B20" s="5" t="n">
        <v>7</v>
      </c>
      <c r="C20" s="5" t="n">
        <v>7</v>
      </c>
      <c r="D20" s="5" t="n">
        <v>7</v>
      </c>
      <c r="E20" s="6">
        <f>INDEX(B20:D20,MATCH($B$2,$B$4:$D$4,0))</f>
        <v/>
      </c>
      <c r="F20" t="inlineStr">
        <is>
          <t>month</t>
        </is>
      </c>
      <c r="G20" t="inlineStr">
        <is>
          <t>Needs signed manufacturers and payments</t>
        </is>
      </c>
    </row>
    <row r="21">
      <c r="A21" t="inlineStr">
        <is>
          <t>Month sales commissions start</t>
        </is>
      </c>
      <c r="B21" s="5" t="n">
        <v>13</v>
      </c>
      <c r="C21" s="5" t="n">
        <v>13</v>
      </c>
      <c r="D21" s="5" t="n">
        <v>13</v>
      </c>
      <c r="E21" s="6">
        <f>INDEX(B21:D21,MATCH($B$2,$B$4:$D$4,0))</f>
        <v/>
      </c>
      <c r="F21" t="inlineStr">
        <is>
          <t>month</t>
        </is>
      </c>
      <c r="G21" t="inlineStr">
        <is>
          <t>Needs pre-order pages or store connections</t>
        </is>
      </c>
    </row>
    <row r="22">
      <c r="A22" t="inlineStr">
        <is>
          <t>Month manufacturer lead fees start</t>
        </is>
      </c>
      <c r="B22" s="5" t="n">
        <v>19</v>
      </c>
      <c r="C22" s="5" t="n">
        <v>19</v>
      </c>
      <c r="D22" s="5" t="n">
        <v>19</v>
      </c>
      <c r="E22" s="6">
        <f>INDEX(B22:D22,MATCH($B$2,$B$4:$D$4,0))</f>
        <v/>
      </c>
      <c r="F22" t="inlineStr">
        <is>
          <t>month</t>
        </is>
      </c>
      <c r="G22" t="inlineStr">
        <is>
          <t>Needs steady order volume</t>
        </is>
      </c>
    </row>
    <row r="23">
      <c r="A23" t="inlineStr">
        <is>
          <t>AI cost per free sign-up</t>
        </is>
      </c>
      <c r="B23" s="9" t="n">
        <v>0.9</v>
      </c>
      <c r="C23" s="9" t="n">
        <v>0.9</v>
      </c>
      <c r="D23" s="9" t="n">
        <v>0.9</v>
      </c>
      <c r="E23" s="10">
        <f>INDEX(B23:D23,MATCH($B$2,$B$4:$D$4,0))</f>
        <v/>
      </c>
      <c r="F23" t="inlineStr">
        <is>
          <t>$</t>
        </is>
      </c>
      <c r="G23" t="inlineStr">
        <is>
          <t>About 1.5 analyses at the app's $0.60 ceiling</t>
        </is>
      </c>
    </row>
    <row r="24">
      <c r="A24" t="inlineStr">
        <is>
          <t>AI cost per subscriber per month</t>
        </is>
      </c>
      <c r="B24" s="5" t="n">
        <v>2</v>
      </c>
      <c r="C24" s="5" t="n">
        <v>2</v>
      </c>
      <c r="D24" s="5" t="n">
        <v>2</v>
      </c>
      <c r="E24" s="6">
        <f>INDEX(B24:D24,MATCH($B$2,$B$4:$D$4,0))</f>
        <v/>
      </c>
      <c r="F24" t="inlineStr">
        <is>
          <t>$</t>
        </is>
      </c>
      <c r="G24" t="inlineStr">
        <is>
          <t>Full journey is about $2 at the app's per-action ceilings</t>
        </is>
      </c>
    </row>
    <row r="25">
      <c r="A25" t="inlineStr">
        <is>
          <t>Card processing, percent</t>
        </is>
      </c>
      <c r="B25" s="7" t="n">
        <v>0.029</v>
      </c>
      <c r="C25" s="7" t="n">
        <v>0.029</v>
      </c>
      <c r="D25" s="7" t="n">
        <v>0.029</v>
      </c>
      <c r="E25" s="8">
        <f>INDEX(B25:D25,MATCH($B$2,$B$4:$D$4,0))</f>
        <v/>
      </c>
      <c r="F25" t="inlineStr">
        <is>
          <t>%</t>
        </is>
      </c>
      <c r="G25" t="inlineStr">
        <is>
          <t>Stripe standard 2.9%</t>
        </is>
      </c>
    </row>
    <row r="26">
      <c r="A26" t="inlineStr">
        <is>
          <t>Card processing per charge</t>
        </is>
      </c>
      <c r="B26" s="9" t="n">
        <v>0.3</v>
      </c>
      <c r="C26" s="9" t="n">
        <v>0.3</v>
      </c>
      <c r="D26" s="9" t="n">
        <v>0.3</v>
      </c>
      <c r="E26" s="10">
        <f>INDEX(B26:D26,MATCH($B$2,$B$4:$D$4,0))</f>
        <v/>
      </c>
      <c r="F26" t="inlineStr">
        <is>
          <t>$</t>
        </is>
      </c>
      <c r="G26" t="inlineStr">
        <is>
          <t>Stripe standard $0.30</t>
        </is>
      </c>
    </row>
    <row r="27">
      <c r="A27" t="inlineStr">
        <is>
          <t>Cost to collect commissions</t>
        </is>
      </c>
      <c r="B27" s="7" t="n">
        <v>0.03</v>
      </c>
      <c r="C27" s="7" t="n">
        <v>0.03</v>
      </c>
      <c r="D27" s="7" t="n">
        <v>0.03</v>
      </c>
      <c r="E27" s="8">
        <f>INDEX(B27:D27,MATCH($B$2,$B$4:$D$4,0))</f>
        <v/>
      </c>
      <c r="F27" t="inlineStr">
        <is>
          <t>%</t>
        </is>
      </c>
      <c r="G27" t="inlineStr">
        <is>
          <t>Assumption</t>
        </is>
      </c>
    </row>
    <row r="28">
      <c r="A28" t="inlineStr">
        <is>
          <t>Paid marketing per sign-up</t>
        </is>
      </c>
      <c r="B28" s="9" t="n">
        <v>1.5</v>
      </c>
      <c r="C28" s="9" t="n">
        <v>1.5</v>
      </c>
      <c r="D28" s="9" t="n">
        <v>1.5</v>
      </c>
      <c r="E28" s="10">
        <f>INDEX(B28:D28,MATCH($B$2,$B$4:$D$4,0))</f>
        <v/>
      </c>
      <c r="F28" t="inlineStr">
        <is>
          <t>$</t>
        </is>
      </c>
      <c r="G28" t="inlineStr">
        <is>
          <t>Assumption: mostly organic</t>
        </is>
      </c>
    </row>
    <row r="29">
      <c r="A29" t="inlineStr">
        <is>
          <t>Support and coordination cost per production run</t>
        </is>
      </c>
      <c r="B29" s="5" t="n">
        <v>50</v>
      </c>
      <c r="C29" s="5" t="n">
        <v>50</v>
      </c>
      <c r="D29" s="5" t="n">
        <v>50</v>
      </c>
      <c r="E29" s="6">
        <f>INDEX(B29:D29,MATCH($B$2,$B$4:$D$4,0))</f>
        <v/>
      </c>
      <c r="F29" t="inlineStr">
        <is>
          <t>$</t>
        </is>
      </c>
      <c r="G29" t="inlineStr">
        <is>
          <t>Assumption</t>
        </is>
      </c>
    </row>
    <row r="30">
      <c r="A30" t="inlineStr">
        <is>
          <t>Hosting and tools per month, year 1</t>
        </is>
      </c>
      <c r="B30" s="5" t="n">
        <v>300</v>
      </c>
      <c r="C30" s="5" t="n">
        <v>300</v>
      </c>
      <c r="D30" s="5" t="n">
        <v>300</v>
      </c>
      <c r="E30" s="6">
        <f>INDEX(B30:D30,MATCH($B$2,$B$4:$D$4,0))</f>
        <v/>
      </c>
      <c r="F30" t="inlineStr">
        <is>
          <t>$</t>
        </is>
      </c>
      <c r="G30" t="inlineStr"/>
    </row>
    <row r="31">
      <c r="A31" t="inlineStr">
        <is>
          <t>Hosting and tools per month, year 2</t>
        </is>
      </c>
      <c r="B31" s="5" t="n">
        <v>1500</v>
      </c>
      <c r="C31" s="5" t="n">
        <v>1500</v>
      </c>
      <c r="D31" s="5" t="n">
        <v>1500</v>
      </c>
      <c r="E31" s="6">
        <f>INDEX(B31:D31,MATCH($B$2,$B$4:$D$4,0))</f>
        <v/>
      </c>
      <c r="F31" t="inlineStr">
        <is>
          <t>$</t>
        </is>
      </c>
      <c r="G31" t="inlineStr"/>
    </row>
    <row r="32">
      <c r="A32" t="inlineStr">
        <is>
          <t>Hosting and tools per month, year 3</t>
        </is>
      </c>
      <c r="B32" s="5" t="n">
        <v>4000</v>
      </c>
      <c r="C32" s="5" t="n">
        <v>4000</v>
      </c>
      <c r="D32" s="5" t="n">
        <v>4000</v>
      </c>
      <c r="E32" s="6">
        <f>INDEX(B32:D32,MATCH($B$2,$B$4:$D$4,0))</f>
        <v/>
      </c>
      <c r="F32" t="inlineStr">
        <is>
          <t>$</t>
        </is>
      </c>
      <c r="G32" t="inlineStr"/>
    </row>
    <row r="33">
      <c r="A33" t="inlineStr">
        <is>
          <t>Fixed marketing per month, year 1</t>
        </is>
      </c>
      <c r="B33" s="5" t="n">
        <v>1000</v>
      </c>
      <c r="C33" s="5" t="n">
        <v>1000</v>
      </c>
      <c r="D33" s="5" t="n">
        <v>1000</v>
      </c>
      <c r="E33" s="6">
        <f>INDEX(B33:D33,MATCH($B$2,$B$4:$D$4,0))</f>
        <v/>
      </c>
      <c r="F33" t="inlineStr">
        <is>
          <t>$</t>
        </is>
      </c>
      <c r="G33" t="inlineStr"/>
    </row>
    <row r="34">
      <c r="A34" t="inlineStr">
        <is>
          <t>Fixed marketing per month, year 2</t>
        </is>
      </c>
      <c r="B34" s="5" t="n">
        <v>5000</v>
      </c>
      <c r="C34" s="5" t="n">
        <v>5000</v>
      </c>
      <c r="D34" s="5" t="n">
        <v>5000</v>
      </c>
      <c r="E34" s="6">
        <f>INDEX(B34:D34,MATCH($B$2,$B$4:$D$4,0))</f>
        <v/>
      </c>
      <c r="F34" t="inlineStr">
        <is>
          <t>$</t>
        </is>
      </c>
      <c r="G34" t="inlineStr"/>
    </row>
    <row r="35">
      <c r="A35" t="inlineStr">
        <is>
          <t>Fixed marketing per month, year 3</t>
        </is>
      </c>
      <c r="B35" s="5" t="n">
        <v>15000</v>
      </c>
      <c r="C35" s="5" t="n">
        <v>15000</v>
      </c>
      <c r="D35" s="5" t="n">
        <v>15000</v>
      </c>
      <c r="E35" s="6">
        <f>INDEX(B35:D35,MATCH($B$2,$B$4:$D$4,0))</f>
        <v/>
      </c>
      <c r="F35" t="inlineStr">
        <is>
          <t>$</t>
        </is>
      </c>
      <c r="G35" t="inlineStr"/>
    </row>
    <row r="36">
      <c r="A36" t="inlineStr">
        <is>
          <t>Team cost per month, year 1</t>
        </is>
      </c>
      <c r="B36" s="5" t="n">
        <v>0</v>
      </c>
      <c r="C36" s="5" t="n">
        <v>0</v>
      </c>
      <c r="D36" s="5" t="n">
        <v>0</v>
      </c>
      <c r="E36" s="6">
        <f>INDEX(B36:D36,MATCH($B$2,$B$4:$D$4,0))</f>
        <v/>
      </c>
      <c r="F36" t="inlineStr">
        <is>
          <t>$</t>
        </is>
      </c>
      <c r="G36" t="inlineStr">
        <is>
          <t>Founders unpaid</t>
        </is>
      </c>
    </row>
    <row r="37">
      <c r="A37" t="inlineStr">
        <is>
          <t>Team cost per month, year 2</t>
        </is>
      </c>
      <c r="B37" s="5" t="n">
        <v>15000</v>
      </c>
      <c r="C37" s="5" t="n">
        <v>15000</v>
      </c>
      <c r="D37" s="5" t="n">
        <v>15000</v>
      </c>
      <c r="E37" s="6">
        <f>INDEX(B37:D37,MATCH($B$2,$B$4:$D$4,0))</f>
        <v/>
      </c>
      <c r="F37" t="inlineStr">
        <is>
          <t>$</t>
        </is>
      </c>
      <c r="G37" t="inlineStr">
        <is>
          <t>3 people at $60k</t>
        </is>
      </c>
    </row>
    <row r="38">
      <c r="A38" t="inlineStr">
        <is>
          <t>Team cost per month, year 3</t>
        </is>
      </c>
      <c r="B38" s="5" t="n">
        <v>30000</v>
      </c>
      <c r="C38" s="5" t="n">
        <v>30000</v>
      </c>
      <c r="D38" s="5" t="n">
        <v>30000</v>
      </c>
      <c r="E38" s="6">
        <f>INDEX(B38:D38,MATCH($B$2,$B$4:$D$4,0))</f>
        <v/>
      </c>
      <c r="F38" t="inlineStr">
        <is>
          <t>$</t>
        </is>
      </c>
      <c r="G38" t="inlineStr">
        <is>
          <t>6 people at $60k</t>
        </is>
      </c>
    </row>
  </sheetData>
  <dataValidations count="1">
    <dataValidation sqref="B2" showDropDown="0" showInputMessage="0" showErrorMessage="0" allowBlank="0" type="list">
      <formula1>"Low,Base,High"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1" t="inlineStr">
        <is>
          <t>Month</t>
        </is>
      </c>
      <c r="B1" s="11" t="inlineStr">
        <is>
          <t>Year</t>
        </is>
      </c>
      <c r="C1" s="11" t="inlineStr">
        <is>
          <t>Sign-up growth</t>
        </is>
      </c>
      <c r="D1" s="11" t="inlineStr">
        <is>
          <t>New free sign-ups</t>
        </is>
      </c>
      <c r="E1" s="11" t="inlineStr">
        <is>
          <t>New subscribers</t>
        </is>
      </c>
      <c r="F1" s="11" t="inlineStr">
        <is>
          <t>Subscribers</t>
        </is>
      </c>
      <c r="G1" s="11" t="inlineStr">
        <is>
          <t>Subscription revenue</t>
        </is>
      </c>
      <c r="H1" s="11" t="inlineStr">
        <is>
          <t>Production runs</t>
        </is>
      </c>
      <c r="I1" s="11" t="inlineStr">
        <is>
          <t>Production run value</t>
        </is>
      </c>
      <c r="J1" s="11" t="inlineStr">
        <is>
          <t>Production commission</t>
        </is>
      </c>
      <c r="K1" s="11" t="inlineStr">
        <is>
          <t>Sales through creators</t>
        </is>
      </c>
      <c r="L1" s="11" t="inlineStr">
        <is>
          <t>Sales commission</t>
        </is>
      </c>
      <c r="M1" s="11" t="inlineStr">
        <is>
          <t>Manufacturer lead fees</t>
        </is>
      </c>
      <c r="N1" s="11" t="inlineStr">
        <is>
          <t>Total revenue</t>
        </is>
      </c>
      <c r="O1" s="11" t="inlineStr">
        <is>
          <t>AI cost</t>
        </is>
      </c>
      <c r="P1" s="11" t="inlineStr">
        <is>
          <t>Payment costs</t>
        </is>
      </c>
      <c r="Q1" s="11" t="inlineStr">
        <is>
          <t>Marketing + ops (variable)</t>
        </is>
      </c>
      <c r="R1" s="11" t="inlineStr">
        <is>
          <t>Fixed costs</t>
        </is>
      </c>
      <c r="S1" s="11" t="inlineStr">
        <is>
          <t>Total costs</t>
        </is>
      </c>
      <c r="T1" s="11" t="inlineStr">
        <is>
          <t>Profit</t>
        </is>
      </c>
      <c r="U1" s="11" t="inlineStr">
        <is>
          <t>Cumulative profit</t>
        </is>
      </c>
    </row>
    <row r="2">
      <c r="A2" t="n">
        <v>1</v>
      </c>
      <c r="B2">
        <f>INT((A2-1)/12)+1</f>
        <v/>
      </c>
      <c r="C2" s="12">
        <f>CHOOSE(B2,Assumptions!$E$6,Assumptions!$E$7,Assumptions!$E$8)</f>
        <v/>
      </c>
      <c r="D2" s="3">
        <f>Assumptions!$E$5</f>
        <v/>
      </c>
      <c r="E2" s="3">
        <f>D2*Assumptions!$E$9</f>
        <v/>
      </c>
      <c r="F2" s="3">
        <f>E2</f>
        <v/>
      </c>
      <c r="G2" s="3">
        <f>F2*Assumptions!$E$10</f>
        <v/>
      </c>
      <c r="H2" s="3">
        <f>IF(A2&gt;=Assumptions!$E$20,F2*Assumptions!$E$12,0)</f>
        <v/>
      </c>
      <c r="I2" s="3">
        <f>H2*Assumptions!$E$13</f>
        <v/>
      </c>
      <c r="J2" s="3">
        <f>I2*Assumptions!$E$14</f>
        <v/>
      </c>
      <c r="K2" s="3">
        <f>IF(A2&gt;=Assumptions!$E$21,F2*Assumptions!$E$15*Assumptions!$E$16,0)</f>
        <v/>
      </c>
      <c r="L2" s="3">
        <f>K2*Assumptions!$E$17</f>
        <v/>
      </c>
      <c r="M2" s="3">
        <f>IF(A2&gt;=Assumptions!$E$22,F2*Assumptions!$E$18*Assumptions!$E$19,0)</f>
        <v/>
      </c>
      <c r="N2" s="3">
        <f>G2+J2+L2+M2</f>
        <v/>
      </c>
      <c r="O2" s="3">
        <f>D2*Assumptions!$E$23+F2*Assumptions!$E$24</f>
        <v/>
      </c>
      <c r="P2" s="3">
        <f>G2*Assumptions!$E$25+F2*Assumptions!$E$26+(J2+L2+M2)*Assumptions!$E$27</f>
        <v/>
      </c>
      <c r="Q2" s="3">
        <f>D2*Assumptions!$E$28+H2*Assumptions!$E$29</f>
        <v/>
      </c>
      <c r="R2" s="3">
        <f>CHOOSE(B2,Assumptions!$E$30,Assumptions!$E$31,Assumptions!$E$32)+CHOOSE(B2,Assumptions!$E$33,Assumptions!$E$34,Assumptions!$E$35)+CHOOSE(B2,Assumptions!$E$36,Assumptions!$E$37,Assumptions!$E$38)</f>
        <v/>
      </c>
      <c r="S2" s="3">
        <f>O2+P2+Q2+R2</f>
        <v/>
      </c>
      <c r="T2" s="3">
        <f>N2-S2</f>
        <v/>
      </c>
      <c r="U2" s="3">
        <f>T2</f>
        <v/>
      </c>
    </row>
    <row r="3">
      <c r="A3" t="n">
        <v>2</v>
      </c>
      <c r="B3">
        <f>INT((A3-1)/12)+1</f>
        <v/>
      </c>
      <c r="C3" s="12">
        <f>CHOOSE(B3,Assumptions!$E$6,Assumptions!$E$7,Assumptions!$E$8)</f>
        <v/>
      </c>
      <c r="D3" s="3">
        <f>D2*(1+C3)</f>
        <v/>
      </c>
      <c r="E3" s="3">
        <f>D3*Assumptions!$E$9</f>
        <v/>
      </c>
      <c r="F3" s="3">
        <f>F2*(1-Assumptions!$E$11)+E3</f>
        <v/>
      </c>
      <c r="G3" s="3">
        <f>F3*Assumptions!$E$10</f>
        <v/>
      </c>
      <c r="H3" s="3">
        <f>IF(A3&gt;=Assumptions!$E$20,F3*Assumptions!$E$12,0)</f>
        <v/>
      </c>
      <c r="I3" s="3">
        <f>H3*Assumptions!$E$13</f>
        <v/>
      </c>
      <c r="J3" s="3">
        <f>I3*Assumptions!$E$14</f>
        <v/>
      </c>
      <c r="K3" s="3">
        <f>IF(A3&gt;=Assumptions!$E$21,F3*Assumptions!$E$15*Assumptions!$E$16,0)</f>
        <v/>
      </c>
      <c r="L3" s="3">
        <f>K3*Assumptions!$E$17</f>
        <v/>
      </c>
      <c r="M3" s="3">
        <f>IF(A3&gt;=Assumptions!$E$22,F3*Assumptions!$E$18*Assumptions!$E$19,0)</f>
        <v/>
      </c>
      <c r="N3" s="3">
        <f>G3+J3+L3+M3</f>
        <v/>
      </c>
      <c r="O3" s="3">
        <f>D3*Assumptions!$E$23+F3*Assumptions!$E$24</f>
        <v/>
      </c>
      <c r="P3" s="3">
        <f>G3*Assumptions!$E$25+F3*Assumptions!$E$26+(J3+L3+M3)*Assumptions!$E$27</f>
        <v/>
      </c>
      <c r="Q3" s="3">
        <f>D3*Assumptions!$E$28+H3*Assumptions!$E$29</f>
        <v/>
      </c>
      <c r="R3" s="3">
        <f>CHOOSE(B3,Assumptions!$E$30,Assumptions!$E$31,Assumptions!$E$32)+CHOOSE(B3,Assumptions!$E$33,Assumptions!$E$34,Assumptions!$E$35)+CHOOSE(B3,Assumptions!$E$36,Assumptions!$E$37,Assumptions!$E$38)</f>
        <v/>
      </c>
      <c r="S3" s="3">
        <f>O3+P3+Q3+R3</f>
        <v/>
      </c>
      <c r="T3" s="3">
        <f>N3-S3</f>
        <v/>
      </c>
      <c r="U3" s="3">
        <f>U2+T3</f>
        <v/>
      </c>
    </row>
    <row r="4">
      <c r="A4" t="n">
        <v>3</v>
      </c>
      <c r="B4">
        <f>INT((A4-1)/12)+1</f>
        <v/>
      </c>
      <c r="C4" s="12">
        <f>CHOOSE(B4,Assumptions!$E$6,Assumptions!$E$7,Assumptions!$E$8)</f>
        <v/>
      </c>
      <c r="D4" s="3">
        <f>D3*(1+C4)</f>
        <v/>
      </c>
      <c r="E4" s="3">
        <f>D4*Assumptions!$E$9</f>
        <v/>
      </c>
      <c r="F4" s="3">
        <f>F3*(1-Assumptions!$E$11)+E4</f>
        <v/>
      </c>
      <c r="G4" s="3">
        <f>F4*Assumptions!$E$10</f>
        <v/>
      </c>
      <c r="H4" s="3">
        <f>IF(A4&gt;=Assumptions!$E$20,F4*Assumptions!$E$12,0)</f>
        <v/>
      </c>
      <c r="I4" s="3">
        <f>H4*Assumptions!$E$13</f>
        <v/>
      </c>
      <c r="J4" s="3">
        <f>I4*Assumptions!$E$14</f>
        <v/>
      </c>
      <c r="K4" s="3">
        <f>IF(A4&gt;=Assumptions!$E$21,F4*Assumptions!$E$15*Assumptions!$E$16,0)</f>
        <v/>
      </c>
      <c r="L4" s="3">
        <f>K4*Assumptions!$E$17</f>
        <v/>
      </c>
      <c r="M4" s="3">
        <f>IF(A4&gt;=Assumptions!$E$22,F4*Assumptions!$E$18*Assumptions!$E$19,0)</f>
        <v/>
      </c>
      <c r="N4" s="3">
        <f>G4+J4+L4+M4</f>
        <v/>
      </c>
      <c r="O4" s="3">
        <f>D4*Assumptions!$E$23+F4*Assumptions!$E$24</f>
        <v/>
      </c>
      <c r="P4" s="3">
        <f>G4*Assumptions!$E$25+F4*Assumptions!$E$26+(J4+L4+M4)*Assumptions!$E$27</f>
        <v/>
      </c>
      <c r="Q4" s="3">
        <f>D4*Assumptions!$E$28+H4*Assumptions!$E$29</f>
        <v/>
      </c>
      <c r="R4" s="3">
        <f>CHOOSE(B4,Assumptions!$E$30,Assumptions!$E$31,Assumptions!$E$32)+CHOOSE(B4,Assumptions!$E$33,Assumptions!$E$34,Assumptions!$E$35)+CHOOSE(B4,Assumptions!$E$36,Assumptions!$E$37,Assumptions!$E$38)</f>
        <v/>
      </c>
      <c r="S4" s="3">
        <f>O4+P4+Q4+R4</f>
        <v/>
      </c>
      <c r="T4" s="3">
        <f>N4-S4</f>
        <v/>
      </c>
      <c r="U4" s="3">
        <f>U3+T4</f>
        <v/>
      </c>
    </row>
    <row r="5">
      <c r="A5" t="n">
        <v>4</v>
      </c>
      <c r="B5">
        <f>INT((A5-1)/12)+1</f>
        <v/>
      </c>
      <c r="C5" s="12">
        <f>CHOOSE(B5,Assumptions!$E$6,Assumptions!$E$7,Assumptions!$E$8)</f>
        <v/>
      </c>
      <c r="D5" s="3">
        <f>D4*(1+C5)</f>
        <v/>
      </c>
      <c r="E5" s="3">
        <f>D5*Assumptions!$E$9</f>
        <v/>
      </c>
      <c r="F5" s="3">
        <f>F4*(1-Assumptions!$E$11)+E5</f>
        <v/>
      </c>
      <c r="G5" s="3">
        <f>F5*Assumptions!$E$10</f>
        <v/>
      </c>
      <c r="H5" s="3">
        <f>IF(A5&gt;=Assumptions!$E$20,F5*Assumptions!$E$12,0)</f>
        <v/>
      </c>
      <c r="I5" s="3">
        <f>H5*Assumptions!$E$13</f>
        <v/>
      </c>
      <c r="J5" s="3">
        <f>I5*Assumptions!$E$14</f>
        <v/>
      </c>
      <c r="K5" s="3">
        <f>IF(A5&gt;=Assumptions!$E$21,F5*Assumptions!$E$15*Assumptions!$E$16,0)</f>
        <v/>
      </c>
      <c r="L5" s="3">
        <f>K5*Assumptions!$E$17</f>
        <v/>
      </c>
      <c r="M5" s="3">
        <f>IF(A5&gt;=Assumptions!$E$22,F5*Assumptions!$E$18*Assumptions!$E$19,0)</f>
        <v/>
      </c>
      <c r="N5" s="3">
        <f>G5+J5+L5+M5</f>
        <v/>
      </c>
      <c r="O5" s="3">
        <f>D5*Assumptions!$E$23+F5*Assumptions!$E$24</f>
        <v/>
      </c>
      <c r="P5" s="3">
        <f>G5*Assumptions!$E$25+F5*Assumptions!$E$26+(J5+L5+M5)*Assumptions!$E$27</f>
        <v/>
      </c>
      <c r="Q5" s="3">
        <f>D5*Assumptions!$E$28+H5*Assumptions!$E$29</f>
        <v/>
      </c>
      <c r="R5" s="3">
        <f>CHOOSE(B5,Assumptions!$E$30,Assumptions!$E$31,Assumptions!$E$32)+CHOOSE(B5,Assumptions!$E$33,Assumptions!$E$34,Assumptions!$E$35)+CHOOSE(B5,Assumptions!$E$36,Assumptions!$E$37,Assumptions!$E$38)</f>
        <v/>
      </c>
      <c r="S5" s="3">
        <f>O5+P5+Q5+R5</f>
        <v/>
      </c>
      <c r="T5" s="3">
        <f>N5-S5</f>
        <v/>
      </c>
      <c r="U5" s="3">
        <f>U4+T5</f>
        <v/>
      </c>
    </row>
    <row r="6">
      <c r="A6" t="n">
        <v>5</v>
      </c>
      <c r="B6">
        <f>INT((A6-1)/12)+1</f>
        <v/>
      </c>
      <c r="C6" s="12">
        <f>CHOOSE(B6,Assumptions!$E$6,Assumptions!$E$7,Assumptions!$E$8)</f>
        <v/>
      </c>
      <c r="D6" s="3">
        <f>D5*(1+C6)</f>
        <v/>
      </c>
      <c r="E6" s="3">
        <f>D6*Assumptions!$E$9</f>
        <v/>
      </c>
      <c r="F6" s="3">
        <f>F5*(1-Assumptions!$E$11)+E6</f>
        <v/>
      </c>
      <c r="G6" s="3">
        <f>F6*Assumptions!$E$10</f>
        <v/>
      </c>
      <c r="H6" s="3">
        <f>IF(A6&gt;=Assumptions!$E$20,F6*Assumptions!$E$12,0)</f>
        <v/>
      </c>
      <c r="I6" s="3">
        <f>H6*Assumptions!$E$13</f>
        <v/>
      </c>
      <c r="J6" s="3">
        <f>I6*Assumptions!$E$14</f>
        <v/>
      </c>
      <c r="K6" s="3">
        <f>IF(A6&gt;=Assumptions!$E$21,F6*Assumptions!$E$15*Assumptions!$E$16,0)</f>
        <v/>
      </c>
      <c r="L6" s="3">
        <f>K6*Assumptions!$E$17</f>
        <v/>
      </c>
      <c r="M6" s="3">
        <f>IF(A6&gt;=Assumptions!$E$22,F6*Assumptions!$E$18*Assumptions!$E$19,0)</f>
        <v/>
      </c>
      <c r="N6" s="3">
        <f>G6+J6+L6+M6</f>
        <v/>
      </c>
      <c r="O6" s="3">
        <f>D6*Assumptions!$E$23+F6*Assumptions!$E$24</f>
        <v/>
      </c>
      <c r="P6" s="3">
        <f>G6*Assumptions!$E$25+F6*Assumptions!$E$26+(J6+L6+M6)*Assumptions!$E$27</f>
        <v/>
      </c>
      <c r="Q6" s="3">
        <f>D6*Assumptions!$E$28+H6*Assumptions!$E$29</f>
        <v/>
      </c>
      <c r="R6" s="3">
        <f>CHOOSE(B6,Assumptions!$E$30,Assumptions!$E$31,Assumptions!$E$32)+CHOOSE(B6,Assumptions!$E$33,Assumptions!$E$34,Assumptions!$E$35)+CHOOSE(B6,Assumptions!$E$36,Assumptions!$E$37,Assumptions!$E$38)</f>
        <v/>
      </c>
      <c r="S6" s="3">
        <f>O6+P6+Q6+R6</f>
        <v/>
      </c>
      <c r="T6" s="3">
        <f>N6-S6</f>
        <v/>
      </c>
      <c r="U6" s="3">
        <f>U5+T6</f>
        <v/>
      </c>
    </row>
    <row r="7">
      <c r="A7" t="n">
        <v>6</v>
      </c>
      <c r="B7">
        <f>INT((A7-1)/12)+1</f>
        <v/>
      </c>
      <c r="C7" s="12">
        <f>CHOOSE(B7,Assumptions!$E$6,Assumptions!$E$7,Assumptions!$E$8)</f>
        <v/>
      </c>
      <c r="D7" s="3">
        <f>D6*(1+C7)</f>
        <v/>
      </c>
      <c r="E7" s="3">
        <f>D7*Assumptions!$E$9</f>
        <v/>
      </c>
      <c r="F7" s="3">
        <f>F6*(1-Assumptions!$E$11)+E7</f>
        <v/>
      </c>
      <c r="G7" s="3">
        <f>F7*Assumptions!$E$10</f>
        <v/>
      </c>
      <c r="H7" s="3">
        <f>IF(A7&gt;=Assumptions!$E$20,F7*Assumptions!$E$12,0)</f>
        <v/>
      </c>
      <c r="I7" s="3">
        <f>H7*Assumptions!$E$13</f>
        <v/>
      </c>
      <c r="J7" s="3">
        <f>I7*Assumptions!$E$14</f>
        <v/>
      </c>
      <c r="K7" s="3">
        <f>IF(A7&gt;=Assumptions!$E$21,F7*Assumptions!$E$15*Assumptions!$E$16,0)</f>
        <v/>
      </c>
      <c r="L7" s="3">
        <f>K7*Assumptions!$E$17</f>
        <v/>
      </c>
      <c r="M7" s="3">
        <f>IF(A7&gt;=Assumptions!$E$22,F7*Assumptions!$E$18*Assumptions!$E$19,0)</f>
        <v/>
      </c>
      <c r="N7" s="3">
        <f>G7+J7+L7+M7</f>
        <v/>
      </c>
      <c r="O7" s="3">
        <f>D7*Assumptions!$E$23+F7*Assumptions!$E$24</f>
        <v/>
      </c>
      <c r="P7" s="3">
        <f>G7*Assumptions!$E$25+F7*Assumptions!$E$26+(J7+L7+M7)*Assumptions!$E$27</f>
        <v/>
      </c>
      <c r="Q7" s="3">
        <f>D7*Assumptions!$E$28+H7*Assumptions!$E$29</f>
        <v/>
      </c>
      <c r="R7" s="3">
        <f>CHOOSE(B7,Assumptions!$E$30,Assumptions!$E$31,Assumptions!$E$32)+CHOOSE(B7,Assumptions!$E$33,Assumptions!$E$34,Assumptions!$E$35)+CHOOSE(B7,Assumptions!$E$36,Assumptions!$E$37,Assumptions!$E$38)</f>
        <v/>
      </c>
      <c r="S7" s="3">
        <f>O7+P7+Q7+R7</f>
        <v/>
      </c>
      <c r="T7" s="3">
        <f>N7-S7</f>
        <v/>
      </c>
      <c r="U7" s="3">
        <f>U6+T7</f>
        <v/>
      </c>
    </row>
    <row r="8">
      <c r="A8" t="n">
        <v>7</v>
      </c>
      <c r="B8">
        <f>INT((A8-1)/12)+1</f>
        <v/>
      </c>
      <c r="C8" s="12">
        <f>CHOOSE(B8,Assumptions!$E$6,Assumptions!$E$7,Assumptions!$E$8)</f>
        <v/>
      </c>
      <c r="D8" s="3">
        <f>D7*(1+C8)</f>
        <v/>
      </c>
      <c r="E8" s="3">
        <f>D8*Assumptions!$E$9</f>
        <v/>
      </c>
      <c r="F8" s="3">
        <f>F7*(1-Assumptions!$E$11)+E8</f>
        <v/>
      </c>
      <c r="G8" s="3">
        <f>F8*Assumptions!$E$10</f>
        <v/>
      </c>
      <c r="H8" s="3">
        <f>IF(A8&gt;=Assumptions!$E$20,F8*Assumptions!$E$12,0)</f>
        <v/>
      </c>
      <c r="I8" s="3">
        <f>H8*Assumptions!$E$13</f>
        <v/>
      </c>
      <c r="J8" s="3">
        <f>I8*Assumptions!$E$14</f>
        <v/>
      </c>
      <c r="K8" s="3">
        <f>IF(A8&gt;=Assumptions!$E$21,F8*Assumptions!$E$15*Assumptions!$E$16,0)</f>
        <v/>
      </c>
      <c r="L8" s="3">
        <f>K8*Assumptions!$E$17</f>
        <v/>
      </c>
      <c r="M8" s="3">
        <f>IF(A8&gt;=Assumptions!$E$22,F8*Assumptions!$E$18*Assumptions!$E$19,0)</f>
        <v/>
      </c>
      <c r="N8" s="3">
        <f>G8+J8+L8+M8</f>
        <v/>
      </c>
      <c r="O8" s="3">
        <f>D8*Assumptions!$E$23+F8*Assumptions!$E$24</f>
        <v/>
      </c>
      <c r="P8" s="3">
        <f>G8*Assumptions!$E$25+F8*Assumptions!$E$26+(J8+L8+M8)*Assumptions!$E$27</f>
        <v/>
      </c>
      <c r="Q8" s="3">
        <f>D8*Assumptions!$E$28+H8*Assumptions!$E$29</f>
        <v/>
      </c>
      <c r="R8" s="3">
        <f>CHOOSE(B8,Assumptions!$E$30,Assumptions!$E$31,Assumptions!$E$32)+CHOOSE(B8,Assumptions!$E$33,Assumptions!$E$34,Assumptions!$E$35)+CHOOSE(B8,Assumptions!$E$36,Assumptions!$E$37,Assumptions!$E$38)</f>
        <v/>
      </c>
      <c r="S8" s="3">
        <f>O8+P8+Q8+R8</f>
        <v/>
      </c>
      <c r="T8" s="3">
        <f>N8-S8</f>
        <v/>
      </c>
      <c r="U8" s="3">
        <f>U7+T8</f>
        <v/>
      </c>
    </row>
    <row r="9">
      <c r="A9" t="n">
        <v>8</v>
      </c>
      <c r="B9">
        <f>INT((A9-1)/12)+1</f>
        <v/>
      </c>
      <c r="C9" s="12">
        <f>CHOOSE(B9,Assumptions!$E$6,Assumptions!$E$7,Assumptions!$E$8)</f>
        <v/>
      </c>
      <c r="D9" s="3">
        <f>D8*(1+C9)</f>
        <v/>
      </c>
      <c r="E9" s="3">
        <f>D9*Assumptions!$E$9</f>
        <v/>
      </c>
      <c r="F9" s="3">
        <f>F8*(1-Assumptions!$E$11)+E9</f>
        <v/>
      </c>
      <c r="G9" s="3">
        <f>F9*Assumptions!$E$10</f>
        <v/>
      </c>
      <c r="H9" s="3">
        <f>IF(A9&gt;=Assumptions!$E$20,F9*Assumptions!$E$12,0)</f>
        <v/>
      </c>
      <c r="I9" s="3">
        <f>H9*Assumptions!$E$13</f>
        <v/>
      </c>
      <c r="J9" s="3">
        <f>I9*Assumptions!$E$14</f>
        <v/>
      </c>
      <c r="K9" s="3">
        <f>IF(A9&gt;=Assumptions!$E$21,F9*Assumptions!$E$15*Assumptions!$E$16,0)</f>
        <v/>
      </c>
      <c r="L9" s="3">
        <f>K9*Assumptions!$E$17</f>
        <v/>
      </c>
      <c r="M9" s="3">
        <f>IF(A9&gt;=Assumptions!$E$22,F9*Assumptions!$E$18*Assumptions!$E$19,0)</f>
        <v/>
      </c>
      <c r="N9" s="3">
        <f>G9+J9+L9+M9</f>
        <v/>
      </c>
      <c r="O9" s="3">
        <f>D9*Assumptions!$E$23+F9*Assumptions!$E$24</f>
        <v/>
      </c>
      <c r="P9" s="3">
        <f>G9*Assumptions!$E$25+F9*Assumptions!$E$26+(J9+L9+M9)*Assumptions!$E$27</f>
        <v/>
      </c>
      <c r="Q9" s="3">
        <f>D9*Assumptions!$E$28+H9*Assumptions!$E$29</f>
        <v/>
      </c>
      <c r="R9" s="3">
        <f>CHOOSE(B9,Assumptions!$E$30,Assumptions!$E$31,Assumptions!$E$32)+CHOOSE(B9,Assumptions!$E$33,Assumptions!$E$34,Assumptions!$E$35)+CHOOSE(B9,Assumptions!$E$36,Assumptions!$E$37,Assumptions!$E$38)</f>
        <v/>
      </c>
      <c r="S9" s="3">
        <f>O9+P9+Q9+R9</f>
        <v/>
      </c>
      <c r="T9" s="3">
        <f>N9-S9</f>
        <v/>
      </c>
      <c r="U9" s="3">
        <f>U8+T9</f>
        <v/>
      </c>
    </row>
    <row r="10">
      <c r="A10" t="n">
        <v>9</v>
      </c>
      <c r="B10">
        <f>INT((A10-1)/12)+1</f>
        <v/>
      </c>
      <c r="C10" s="12">
        <f>CHOOSE(B10,Assumptions!$E$6,Assumptions!$E$7,Assumptions!$E$8)</f>
        <v/>
      </c>
      <c r="D10" s="3">
        <f>D9*(1+C10)</f>
        <v/>
      </c>
      <c r="E10" s="3">
        <f>D10*Assumptions!$E$9</f>
        <v/>
      </c>
      <c r="F10" s="3">
        <f>F9*(1-Assumptions!$E$11)+E10</f>
        <v/>
      </c>
      <c r="G10" s="3">
        <f>F10*Assumptions!$E$10</f>
        <v/>
      </c>
      <c r="H10" s="3">
        <f>IF(A10&gt;=Assumptions!$E$20,F10*Assumptions!$E$12,0)</f>
        <v/>
      </c>
      <c r="I10" s="3">
        <f>H10*Assumptions!$E$13</f>
        <v/>
      </c>
      <c r="J10" s="3">
        <f>I10*Assumptions!$E$14</f>
        <v/>
      </c>
      <c r="K10" s="3">
        <f>IF(A10&gt;=Assumptions!$E$21,F10*Assumptions!$E$15*Assumptions!$E$16,0)</f>
        <v/>
      </c>
      <c r="L10" s="3">
        <f>K10*Assumptions!$E$17</f>
        <v/>
      </c>
      <c r="M10" s="3">
        <f>IF(A10&gt;=Assumptions!$E$22,F10*Assumptions!$E$18*Assumptions!$E$19,0)</f>
        <v/>
      </c>
      <c r="N10" s="3">
        <f>G10+J10+L10+M10</f>
        <v/>
      </c>
      <c r="O10" s="3">
        <f>D10*Assumptions!$E$23+F10*Assumptions!$E$24</f>
        <v/>
      </c>
      <c r="P10" s="3">
        <f>G10*Assumptions!$E$25+F10*Assumptions!$E$26+(J10+L10+M10)*Assumptions!$E$27</f>
        <v/>
      </c>
      <c r="Q10" s="3">
        <f>D10*Assumptions!$E$28+H10*Assumptions!$E$29</f>
        <v/>
      </c>
      <c r="R10" s="3">
        <f>CHOOSE(B10,Assumptions!$E$30,Assumptions!$E$31,Assumptions!$E$32)+CHOOSE(B10,Assumptions!$E$33,Assumptions!$E$34,Assumptions!$E$35)+CHOOSE(B10,Assumptions!$E$36,Assumptions!$E$37,Assumptions!$E$38)</f>
        <v/>
      </c>
      <c r="S10" s="3">
        <f>O10+P10+Q10+R10</f>
        <v/>
      </c>
      <c r="T10" s="3">
        <f>N10-S10</f>
        <v/>
      </c>
      <c r="U10" s="3">
        <f>U9+T10</f>
        <v/>
      </c>
    </row>
    <row r="11">
      <c r="A11" t="n">
        <v>10</v>
      </c>
      <c r="B11">
        <f>INT((A11-1)/12)+1</f>
        <v/>
      </c>
      <c r="C11" s="12">
        <f>CHOOSE(B11,Assumptions!$E$6,Assumptions!$E$7,Assumptions!$E$8)</f>
        <v/>
      </c>
      <c r="D11" s="3">
        <f>D10*(1+C11)</f>
        <v/>
      </c>
      <c r="E11" s="3">
        <f>D11*Assumptions!$E$9</f>
        <v/>
      </c>
      <c r="F11" s="3">
        <f>F10*(1-Assumptions!$E$11)+E11</f>
        <v/>
      </c>
      <c r="G11" s="3">
        <f>F11*Assumptions!$E$10</f>
        <v/>
      </c>
      <c r="H11" s="3">
        <f>IF(A11&gt;=Assumptions!$E$20,F11*Assumptions!$E$12,0)</f>
        <v/>
      </c>
      <c r="I11" s="3">
        <f>H11*Assumptions!$E$13</f>
        <v/>
      </c>
      <c r="J11" s="3">
        <f>I11*Assumptions!$E$14</f>
        <v/>
      </c>
      <c r="K11" s="3">
        <f>IF(A11&gt;=Assumptions!$E$21,F11*Assumptions!$E$15*Assumptions!$E$16,0)</f>
        <v/>
      </c>
      <c r="L11" s="3">
        <f>K11*Assumptions!$E$17</f>
        <v/>
      </c>
      <c r="M11" s="3">
        <f>IF(A11&gt;=Assumptions!$E$22,F11*Assumptions!$E$18*Assumptions!$E$19,0)</f>
        <v/>
      </c>
      <c r="N11" s="3">
        <f>G11+J11+L11+M11</f>
        <v/>
      </c>
      <c r="O11" s="3">
        <f>D11*Assumptions!$E$23+F11*Assumptions!$E$24</f>
        <v/>
      </c>
      <c r="P11" s="3">
        <f>G11*Assumptions!$E$25+F11*Assumptions!$E$26+(J11+L11+M11)*Assumptions!$E$27</f>
        <v/>
      </c>
      <c r="Q11" s="3">
        <f>D11*Assumptions!$E$28+H11*Assumptions!$E$29</f>
        <v/>
      </c>
      <c r="R11" s="3">
        <f>CHOOSE(B11,Assumptions!$E$30,Assumptions!$E$31,Assumptions!$E$32)+CHOOSE(B11,Assumptions!$E$33,Assumptions!$E$34,Assumptions!$E$35)+CHOOSE(B11,Assumptions!$E$36,Assumptions!$E$37,Assumptions!$E$38)</f>
        <v/>
      </c>
      <c r="S11" s="3">
        <f>O11+P11+Q11+R11</f>
        <v/>
      </c>
      <c r="T11" s="3">
        <f>N11-S11</f>
        <v/>
      </c>
      <c r="U11" s="3">
        <f>U10+T11</f>
        <v/>
      </c>
    </row>
    <row r="12">
      <c r="A12" t="n">
        <v>11</v>
      </c>
      <c r="B12">
        <f>INT((A12-1)/12)+1</f>
        <v/>
      </c>
      <c r="C12" s="12">
        <f>CHOOSE(B12,Assumptions!$E$6,Assumptions!$E$7,Assumptions!$E$8)</f>
        <v/>
      </c>
      <c r="D12" s="3">
        <f>D11*(1+C12)</f>
        <v/>
      </c>
      <c r="E12" s="3">
        <f>D12*Assumptions!$E$9</f>
        <v/>
      </c>
      <c r="F12" s="3">
        <f>F11*(1-Assumptions!$E$11)+E12</f>
        <v/>
      </c>
      <c r="G12" s="3">
        <f>F12*Assumptions!$E$10</f>
        <v/>
      </c>
      <c r="H12" s="3">
        <f>IF(A12&gt;=Assumptions!$E$20,F12*Assumptions!$E$12,0)</f>
        <v/>
      </c>
      <c r="I12" s="3">
        <f>H12*Assumptions!$E$13</f>
        <v/>
      </c>
      <c r="J12" s="3">
        <f>I12*Assumptions!$E$14</f>
        <v/>
      </c>
      <c r="K12" s="3">
        <f>IF(A12&gt;=Assumptions!$E$21,F12*Assumptions!$E$15*Assumptions!$E$16,0)</f>
        <v/>
      </c>
      <c r="L12" s="3">
        <f>K12*Assumptions!$E$17</f>
        <v/>
      </c>
      <c r="M12" s="3">
        <f>IF(A12&gt;=Assumptions!$E$22,F12*Assumptions!$E$18*Assumptions!$E$19,0)</f>
        <v/>
      </c>
      <c r="N12" s="3">
        <f>G12+J12+L12+M12</f>
        <v/>
      </c>
      <c r="O12" s="3">
        <f>D12*Assumptions!$E$23+F12*Assumptions!$E$24</f>
        <v/>
      </c>
      <c r="P12" s="3">
        <f>G12*Assumptions!$E$25+F12*Assumptions!$E$26+(J12+L12+M12)*Assumptions!$E$27</f>
        <v/>
      </c>
      <c r="Q12" s="3">
        <f>D12*Assumptions!$E$28+H12*Assumptions!$E$29</f>
        <v/>
      </c>
      <c r="R12" s="3">
        <f>CHOOSE(B12,Assumptions!$E$30,Assumptions!$E$31,Assumptions!$E$32)+CHOOSE(B12,Assumptions!$E$33,Assumptions!$E$34,Assumptions!$E$35)+CHOOSE(B12,Assumptions!$E$36,Assumptions!$E$37,Assumptions!$E$38)</f>
        <v/>
      </c>
      <c r="S12" s="3">
        <f>O12+P12+Q12+R12</f>
        <v/>
      </c>
      <c r="T12" s="3">
        <f>N12-S12</f>
        <v/>
      </c>
      <c r="U12" s="3">
        <f>U11+T12</f>
        <v/>
      </c>
    </row>
    <row r="13">
      <c r="A13" t="n">
        <v>12</v>
      </c>
      <c r="B13">
        <f>INT((A13-1)/12)+1</f>
        <v/>
      </c>
      <c r="C13" s="12">
        <f>CHOOSE(B13,Assumptions!$E$6,Assumptions!$E$7,Assumptions!$E$8)</f>
        <v/>
      </c>
      <c r="D13" s="3">
        <f>D12*(1+C13)</f>
        <v/>
      </c>
      <c r="E13" s="3">
        <f>D13*Assumptions!$E$9</f>
        <v/>
      </c>
      <c r="F13" s="3">
        <f>F12*(1-Assumptions!$E$11)+E13</f>
        <v/>
      </c>
      <c r="G13" s="3">
        <f>F13*Assumptions!$E$10</f>
        <v/>
      </c>
      <c r="H13" s="3">
        <f>IF(A13&gt;=Assumptions!$E$20,F13*Assumptions!$E$12,0)</f>
        <v/>
      </c>
      <c r="I13" s="3">
        <f>H13*Assumptions!$E$13</f>
        <v/>
      </c>
      <c r="J13" s="3">
        <f>I13*Assumptions!$E$14</f>
        <v/>
      </c>
      <c r="K13" s="3">
        <f>IF(A13&gt;=Assumptions!$E$21,F13*Assumptions!$E$15*Assumptions!$E$16,0)</f>
        <v/>
      </c>
      <c r="L13" s="3">
        <f>K13*Assumptions!$E$17</f>
        <v/>
      </c>
      <c r="M13" s="3">
        <f>IF(A13&gt;=Assumptions!$E$22,F13*Assumptions!$E$18*Assumptions!$E$19,0)</f>
        <v/>
      </c>
      <c r="N13" s="3">
        <f>G13+J13+L13+M13</f>
        <v/>
      </c>
      <c r="O13" s="3">
        <f>D13*Assumptions!$E$23+F13*Assumptions!$E$24</f>
        <v/>
      </c>
      <c r="P13" s="3">
        <f>G13*Assumptions!$E$25+F13*Assumptions!$E$26+(J13+L13+M13)*Assumptions!$E$27</f>
        <v/>
      </c>
      <c r="Q13" s="3">
        <f>D13*Assumptions!$E$28+H13*Assumptions!$E$29</f>
        <v/>
      </c>
      <c r="R13" s="3">
        <f>CHOOSE(B13,Assumptions!$E$30,Assumptions!$E$31,Assumptions!$E$32)+CHOOSE(B13,Assumptions!$E$33,Assumptions!$E$34,Assumptions!$E$35)+CHOOSE(B13,Assumptions!$E$36,Assumptions!$E$37,Assumptions!$E$38)</f>
        <v/>
      </c>
      <c r="S13" s="3">
        <f>O13+P13+Q13+R13</f>
        <v/>
      </c>
      <c r="T13" s="3">
        <f>N13-S13</f>
        <v/>
      </c>
      <c r="U13" s="3">
        <f>U12+T13</f>
        <v/>
      </c>
    </row>
    <row r="14">
      <c r="A14" t="n">
        <v>13</v>
      </c>
      <c r="B14">
        <f>INT((A14-1)/12)+1</f>
        <v/>
      </c>
      <c r="C14" s="12">
        <f>CHOOSE(B14,Assumptions!$E$6,Assumptions!$E$7,Assumptions!$E$8)</f>
        <v/>
      </c>
      <c r="D14" s="3">
        <f>D13*(1+C14)</f>
        <v/>
      </c>
      <c r="E14" s="3">
        <f>D14*Assumptions!$E$9</f>
        <v/>
      </c>
      <c r="F14" s="3">
        <f>F13*(1-Assumptions!$E$11)+E14</f>
        <v/>
      </c>
      <c r="G14" s="3">
        <f>F14*Assumptions!$E$10</f>
        <v/>
      </c>
      <c r="H14" s="3">
        <f>IF(A14&gt;=Assumptions!$E$20,F14*Assumptions!$E$12,0)</f>
        <v/>
      </c>
      <c r="I14" s="3">
        <f>H14*Assumptions!$E$13</f>
        <v/>
      </c>
      <c r="J14" s="3">
        <f>I14*Assumptions!$E$14</f>
        <v/>
      </c>
      <c r="K14" s="3">
        <f>IF(A14&gt;=Assumptions!$E$21,F14*Assumptions!$E$15*Assumptions!$E$16,0)</f>
        <v/>
      </c>
      <c r="L14" s="3">
        <f>K14*Assumptions!$E$17</f>
        <v/>
      </c>
      <c r="M14" s="3">
        <f>IF(A14&gt;=Assumptions!$E$22,F14*Assumptions!$E$18*Assumptions!$E$19,0)</f>
        <v/>
      </c>
      <c r="N14" s="3">
        <f>G14+J14+L14+M14</f>
        <v/>
      </c>
      <c r="O14" s="3">
        <f>D14*Assumptions!$E$23+F14*Assumptions!$E$24</f>
        <v/>
      </c>
      <c r="P14" s="3">
        <f>G14*Assumptions!$E$25+F14*Assumptions!$E$26+(J14+L14+M14)*Assumptions!$E$27</f>
        <v/>
      </c>
      <c r="Q14" s="3">
        <f>D14*Assumptions!$E$28+H14*Assumptions!$E$29</f>
        <v/>
      </c>
      <c r="R14" s="3">
        <f>CHOOSE(B14,Assumptions!$E$30,Assumptions!$E$31,Assumptions!$E$32)+CHOOSE(B14,Assumptions!$E$33,Assumptions!$E$34,Assumptions!$E$35)+CHOOSE(B14,Assumptions!$E$36,Assumptions!$E$37,Assumptions!$E$38)</f>
        <v/>
      </c>
      <c r="S14" s="3">
        <f>O14+P14+Q14+R14</f>
        <v/>
      </c>
      <c r="T14" s="3">
        <f>N14-S14</f>
        <v/>
      </c>
      <c r="U14" s="3">
        <f>U13+T14</f>
        <v/>
      </c>
    </row>
    <row r="15">
      <c r="A15" t="n">
        <v>14</v>
      </c>
      <c r="B15">
        <f>INT((A15-1)/12)+1</f>
        <v/>
      </c>
      <c r="C15" s="12">
        <f>CHOOSE(B15,Assumptions!$E$6,Assumptions!$E$7,Assumptions!$E$8)</f>
        <v/>
      </c>
      <c r="D15" s="3">
        <f>D14*(1+C15)</f>
        <v/>
      </c>
      <c r="E15" s="3">
        <f>D15*Assumptions!$E$9</f>
        <v/>
      </c>
      <c r="F15" s="3">
        <f>F14*(1-Assumptions!$E$11)+E15</f>
        <v/>
      </c>
      <c r="G15" s="3">
        <f>F15*Assumptions!$E$10</f>
        <v/>
      </c>
      <c r="H15" s="3">
        <f>IF(A15&gt;=Assumptions!$E$20,F15*Assumptions!$E$12,0)</f>
        <v/>
      </c>
      <c r="I15" s="3">
        <f>H15*Assumptions!$E$13</f>
        <v/>
      </c>
      <c r="J15" s="3">
        <f>I15*Assumptions!$E$14</f>
        <v/>
      </c>
      <c r="K15" s="3">
        <f>IF(A15&gt;=Assumptions!$E$21,F15*Assumptions!$E$15*Assumptions!$E$16,0)</f>
        <v/>
      </c>
      <c r="L15" s="3">
        <f>K15*Assumptions!$E$17</f>
        <v/>
      </c>
      <c r="M15" s="3">
        <f>IF(A15&gt;=Assumptions!$E$22,F15*Assumptions!$E$18*Assumptions!$E$19,0)</f>
        <v/>
      </c>
      <c r="N15" s="3">
        <f>G15+J15+L15+M15</f>
        <v/>
      </c>
      <c r="O15" s="3">
        <f>D15*Assumptions!$E$23+F15*Assumptions!$E$24</f>
        <v/>
      </c>
      <c r="P15" s="3">
        <f>G15*Assumptions!$E$25+F15*Assumptions!$E$26+(J15+L15+M15)*Assumptions!$E$27</f>
        <v/>
      </c>
      <c r="Q15" s="3">
        <f>D15*Assumptions!$E$28+H15*Assumptions!$E$29</f>
        <v/>
      </c>
      <c r="R15" s="3">
        <f>CHOOSE(B15,Assumptions!$E$30,Assumptions!$E$31,Assumptions!$E$32)+CHOOSE(B15,Assumptions!$E$33,Assumptions!$E$34,Assumptions!$E$35)+CHOOSE(B15,Assumptions!$E$36,Assumptions!$E$37,Assumptions!$E$38)</f>
        <v/>
      </c>
      <c r="S15" s="3">
        <f>O15+P15+Q15+R15</f>
        <v/>
      </c>
      <c r="T15" s="3">
        <f>N15-S15</f>
        <v/>
      </c>
      <c r="U15" s="3">
        <f>U14+T15</f>
        <v/>
      </c>
    </row>
    <row r="16">
      <c r="A16" t="n">
        <v>15</v>
      </c>
      <c r="B16">
        <f>INT((A16-1)/12)+1</f>
        <v/>
      </c>
      <c r="C16" s="12">
        <f>CHOOSE(B16,Assumptions!$E$6,Assumptions!$E$7,Assumptions!$E$8)</f>
        <v/>
      </c>
      <c r="D16" s="3">
        <f>D15*(1+C16)</f>
        <v/>
      </c>
      <c r="E16" s="3">
        <f>D16*Assumptions!$E$9</f>
        <v/>
      </c>
      <c r="F16" s="3">
        <f>F15*(1-Assumptions!$E$11)+E16</f>
        <v/>
      </c>
      <c r="G16" s="3">
        <f>F16*Assumptions!$E$10</f>
        <v/>
      </c>
      <c r="H16" s="3">
        <f>IF(A16&gt;=Assumptions!$E$20,F16*Assumptions!$E$12,0)</f>
        <v/>
      </c>
      <c r="I16" s="3">
        <f>H16*Assumptions!$E$13</f>
        <v/>
      </c>
      <c r="J16" s="3">
        <f>I16*Assumptions!$E$14</f>
        <v/>
      </c>
      <c r="K16" s="3">
        <f>IF(A16&gt;=Assumptions!$E$21,F16*Assumptions!$E$15*Assumptions!$E$16,0)</f>
        <v/>
      </c>
      <c r="L16" s="3">
        <f>K16*Assumptions!$E$17</f>
        <v/>
      </c>
      <c r="M16" s="3">
        <f>IF(A16&gt;=Assumptions!$E$22,F16*Assumptions!$E$18*Assumptions!$E$19,0)</f>
        <v/>
      </c>
      <c r="N16" s="3">
        <f>G16+J16+L16+M16</f>
        <v/>
      </c>
      <c r="O16" s="3">
        <f>D16*Assumptions!$E$23+F16*Assumptions!$E$24</f>
        <v/>
      </c>
      <c r="P16" s="3">
        <f>G16*Assumptions!$E$25+F16*Assumptions!$E$26+(J16+L16+M16)*Assumptions!$E$27</f>
        <v/>
      </c>
      <c r="Q16" s="3">
        <f>D16*Assumptions!$E$28+H16*Assumptions!$E$29</f>
        <v/>
      </c>
      <c r="R16" s="3">
        <f>CHOOSE(B16,Assumptions!$E$30,Assumptions!$E$31,Assumptions!$E$32)+CHOOSE(B16,Assumptions!$E$33,Assumptions!$E$34,Assumptions!$E$35)+CHOOSE(B16,Assumptions!$E$36,Assumptions!$E$37,Assumptions!$E$38)</f>
        <v/>
      </c>
      <c r="S16" s="3">
        <f>O16+P16+Q16+R16</f>
        <v/>
      </c>
      <c r="T16" s="3">
        <f>N16-S16</f>
        <v/>
      </c>
      <c r="U16" s="3">
        <f>U15+T16</f>
        <v/>
      </c>
    </row>
    <row r="17">
      <c r="A17" t="n">
        <v>16</v>
      </c>
      <c r="B17">
        <f>INT((A17-1)/12)+1</f>
        <v/>
      </c>
      <c r="C17" s="12">
        <f>CHOOSE(B17,Assumptions!$E$6,Assumptions!$E$7,Assumptions!$E$8)</f>
        <v/>
      </c>
      <c r="D17" s="3">
        <f>D16*(1+C17)</f>
        <v/>
      </c>
      <c r="E17" s="3">
        <f>D17*Assumptions!$E$9</f>
        <v/>
      </c>
      <c r="F17" s="3">
        <f>F16*(1-Assumptions!$E$11)+E17</f>
        <v/>
      </c>
      <c r="G17" s="3">
        <f>F17*Assumptions!$E$10</f>
        <v/>
      </c>
      <c r="H17" s="3">
        <f>IF(A17&gt;=Assumptions!$E$20,F17*Assumptions!$E$12,0)</f>
        <v/>
      </c>
      <c r="I17" s="3">
        <f>H17*Assumptions!$E$13</f>
        <v/>
      </c>
      <c r="J17" s="3">
        <f>I17*Assumptions!$E$14</f>
        <v/>
      </c>
      <c r="K17" s="3">
        <f>IF(A17&gt;=Assumptions!$E$21,F17*Assumptions!$E$15*Assumptions!$E$16,0)</f>
        <v/>
      </c>
      <c r="L17" s="3">
        <f>K17*Assumptions!$E$17</f>
        <v/>
      </c>
      <c r="M17" s="3">
        <f>IF(A17&gt;=Assumptions!$E$22,F17*Assumptions!$E$18*Assumptions!$E$19,0)</f>
        <v/>
      </c>
      <c r="N17" s="3">
        <f>G17+J17+L17+M17</f>
        <v/>
      </c>
      <c r="O17" s="3">
        <f>D17*Assumptions!$E$23+F17*Assumptions!$E$24</f>
        <v/>
      </c>
      <c r="P17" s="3">
        <f>G17*Assumptions!$E$25+F17*Assumptions!$E$26+(J17+L17+M17)*Assumptions!$E$27</f>
        <v/>
      </c>
      <c r="Q17" s="3">
        <f>D17*Assumptions!$E$28+H17*Assumptions!$E$29</f>
        <v/>
      </c>
      <c r="R17" s="3">
        <f>CHOOSE(B17,Assumptions!$E$30,Assumptions!$E$31,Assumptions!$E$32)+CHOOSE(B17,Assumptions!$E$33,Assumptions!$E$34,Assumptions!$E$35)+CHOOSE(B17,Assumptions!$E$36,Assumptions!$E$37,Assumptions!$E$38)</f>
        <v/>
      </c>
      <c r="S17" s="3">
        <f>O17+P17+Q17+R17</f>
        <v/>
      </c>
      <c r="T17" s="3">
        <f>N17-S17</f>
        <v/>
      </c>
      <c r="U17" s="3">
        <f>U16+T17</f>
        <v/>
      </c>
    </row>
    <row r="18">
      <c r="A18" t="n">
        <v>17</v>
      </c>
      <c r="B18">
        <f>INT((A18-1)/12)+1</f>
        <v/>
      </c>
      <c r="C18" s="12">
        <f>CHOOSE(B18,Assumptions!$E$6,Assumptions!$E$7,Assumptions!$E$8)</f>
        <v/>
      </c>
      <c r="D18" s="3">
        <f>D17*(1+C18)</f>
        <v/>
      </c>
      <c r="E18" s="3">
        <f>D18*Assumptions!$E$9</f>
        <v/>
      </c>
      <c r="F18" s="3">
        <f>F17*(1-Assumptions!$E$11)+E18</f>
        <v/>
      </c>
      <c r="G18" s="3">
        <f>F18*Assumptions!$E$10</f>
        <v/>
      </c>
      <c r="H18" s="3">
        <f>IF(A18&gt;=Assumptions!$E$20,F18*Assumptions!$E$12,0)</f>
        <v/>
      </c>
      <c r="I18" s="3">
        <f>H18*Assumptions!$E$13</f>
        <v/>
      </c>
      <c r="J18" s="3">
        <f>I18*Assumptions!$E$14</f>
        <v/>
      </c>
      <c r="K18" s="3">
        <f>IF(A18&gt;=Assumptions!$E$21,F18*Assumptions!$E$15*Assumptions!$E$16,0)</f>
        <v/>
      </c>
      <c r="L18" s="3">
        <f>K18*Assumptions!$E$17</f>
        <v/>
      </c>
      <c r="M18" s="3">
        <f>IF(A18&gt;=Assumptions!$E$22,F18*Assumptions!$E$18*Assumptions!$E$19,0)</f>
        <v/>
      </c>
      <c r="N18" s="3">
        <f>G18+J18+L18+M18</f>
        <v/>
      </c>
      <c r="O18" s="3">
        <f>D18*Assumptions!$E$23+F18*Assumptions!$E$24</f>
        <v/>
      </c>
      <c r="P18" s="3">
        <f>G18*Assumptions!$E$25+F18*Assumptions!$E$26+(J18+L18+M18)*Assumptions!$E$27</f>
        <v/>
      </c>
      <c r="Q18" s="3">
        <f>D18*Assumptions!$E$28+H18*Assumptions!$E$29</f>
        <v/>
      </c>
      <c r="R18" s="3">
        <f>CHOOSE(B18,Assumptions!$E$30,Assumptions!$E$31,Assumptions!$E$32)+CHOOSE(B18,Assumptions!$E$33,Assumptions!$E$34,Assumptions!$E$35)+CHOOSE(B18,Assumptions!$E$36,Assumptions!$E$37,Assumptions!$E$38)</f>
        <v/>
      </c>
      <c r="S18" s="3">
        <f>O18+P18+Q18+R18</f>
        <v/>
      </c>
      <c r="T18" s="3">
        <f>N18-S18</f>
        <v/>
      </c>
      <c r="U18" s="3">
        <f>U17+T18</f>
        <v/>
      </c>
    </row>
    <row r="19">
      <c r="A19" t="n">
        <v>18</v>
      </c>
      <c r="B19">
        <f>INT((A19-1)/12)+1</f>
        <v/>
      </c>
      <c r="C19" s="12">
        <f>CHOOSE(B19,Assumptions!$E$6,Assumptions!$E$7,Assumptions!$E$8)</f>
        <v/>
      </c>
      <c r="D19" s="3">
        <f>D18*(1+C19)</f>
        <v/>
      </c>
      <c r="E19" s="3">
        <f>D19*Assumptions!$E$9</f>
        <v/>
      </c>
      <c r="F19" s="3">
        <f>F18*(1-Assumptions!$E$11)+E19</f>
        <v/>
      </c>
      <c r="G19" s="3">
        <f>F19*Assumptions!$E$10</f>
        <v/>
      </c>
      <c r="H19" s="3">
        <f>IF(A19&gt;=Assumptions!$E$20,F19*Assumptions!$E$12,0)</f>
        <v/>
      </c>
      <c r="I19" s="3">
        <f>H19*Assumptions!$E$13</f>
        <v/>
      </c>
      <c r="J19" s="3">
        <f>I19*Assumptions!$E$14</f>
        <v/>
      </c>
      <c r="K19" s="3">
        <f>IF(A19&gt;=Assumptions!$E$21,F19*Assumptions!$E$15*Assumptions!$E$16,0)</f>
        <v/>
      </c>
      <c r="L19" s="3">
        <f>K19*Assumptions!$E$17</f>
        <v/>
      </c>
      <c r="M19" s="3">
        <f>IF(A19&gt;=Assumptions!$E$22,F19*Assumptions!$E$18*Assumptions!$E$19,0)</f>
        <v/>
      </c>
      <c r="N19" s="3">
        <f>G19+J19+L19+M19</f>
        <v/>
      </c>
      <c r="O19" s="3">
        <f>D19*Assumptions!$E$23+F19*Assumptions!$E$24</f>
        <v/>
      </c>
      <c r="P19" s="3">
        <f>G19*Assumptions!$E$25+F19*Assumptions!$E$26+(J19+L19+M19)*Assumptions!$E$27</f>
        <v/>
      </c>
      <c r="Q19" s="3">
        <f>D19*Assumptions!$E$28+H19*Assumptions!$E$29</f>
        <v/>
      </c>
      <c r="R19" s="3">
        <f>CHOOSE(B19,Assumptions!$E$30,Assumptions!$E$31,Assumptions!$E$32)+CHOOSE(B19,Assumptions!$E$33,Assumptions!$E$34,Assumptions!$E$35)+CHOOSE(B19,Assumptions!$E$36,Assumptions!$E$37,Assumptions!$E$38)</f>
        <v/>
      </c>
      <c r="S19" s="3">
        <f>O19+P19+Q19+R19</f>
        <v/>
      </c>
      <c r="T19" s="3">
        <f>N19-S19</f>
        <v/>
      </c>
      <c r="U19" s="3">
        <f>U18+T19</f>
        <v/>
      </c>
    </row>
    <row r="20">
      <c r="A20" t="n">
        <v>19</v>
      </c>
      <c r="B20">
        <f>INT((A20-1)/12)+1</f>
        <v/>
      </c>
      <c r="C20" s="12">
        <f>CHOOSE(B20,Assumptions!$E$6,Assumptions!$E$7,Assumptions!$E$8)</f>
        <v/>
      </c>
      <c r="D20" s="3">
        <f>D19*(1+C20)</f>
        <v/>
      </c>
      <c r="E20" s="3">
        <f>D20*Assumptions!$E$9</f>
        <v/>
      </c>
      <c r="F20" s="3">
        <f>F19*(1-Assumptions!$E$11)+E20</f>
        <v/>
      </c>
      <c r="G20" s="3">
        <f>F20*Assumptions!$E$10</f>
        <v/>
      </c>
      <c r="H20" s="3">
        <f>IF(A20&gt;=Assumptions!$E$20,F20*Assumptions!$E$12,0)</f>
        <v/>
      </c>
      <c r="I20" s="3">
        <f>H20*Assumptions!$E$13</f>
        <v/>
      </c>
      <c r="J20" s="3">
        <f>I20*Assumptions!$E$14</f>
        <v/>
      </c>
      <c r="K20" s="3">
        <f>IF(A20&gt;=Assumptions!$E$21,F20*Assumptions!$E$15*Assumptions!$E$16,0)</f>
        <v/>
      </c>
      <c r="L20" s="3">
        <f>K20*Assumptions!$E$17</f>
        <v/>
      </c>
      <c r="M20" s="3">
        <f>IF(A20&gt;=Assumptions!$E$22,F20*Assumptions!$E$18*Assumptions!$E$19,0)</f>
        <v/>
      </c>
      <c r="N20" s="3">
        <f>G20+J20+L20+M20</f>
        <v/>
      </c>
      <c r="O20" s="3">
        <f>D20*Assumptions!$E$23+F20*Assumptions!$E$24</f>
        <v/>
      </c>
      <c r="P20" s="3">
        <f>G20*Assumptions!$E$25+F20*Assumptions!$E$26+(J20+L20+M20)*Assumptions!$E$27</f>
        <v/>
      </c>
      <c r="Q20" s="3">
        <f>D20*Assumptions!$E$28+H20*Assumptions!$E$29</f>
        <v/>
      </c>
      <c r="R20" s="3">
        <f>CHOOSE(B20,Assumptions!$E$30,Assumptions!$E$31,Assumptions!$E$32)+CHOOSE(B20,Assumptions!$E$33,Assumptions!$E$34,Assumptions!$E$35)+CHOOSE(B20,Assumptions!$E$36,Assumptions!$E$37,Assumptions!$E$38)</f>
        <v/>
      </c>
      <c r="S20" s="3">
        <f>O20+P20+Q20+R20</f>
        <v/>
      </c>
      <c r="T20" s="3">
        <f>N20-S20</f>
        <v/>
      </c>
      <c r="U20" s="3">
        <f>U19+T20</f>
        <v/>
      </c>
    </row>
    <row r="21">
      <c r="A21" t="n">
        <v>20</v>
      </c>
      <c r="B21">
        <f>INT((A21-1)/12)+1</f>
        <v/>
      </c>
      <c r="C21" s="12">
        <f>CHOOSE(B21,Assumptions!$E$6,Assumptions!$E$7,Assumptions!$E$8)</f>
        <v/>
      </c>
      <c r="D21" s="3">
        <f>D20*(1+C21)</f>
        <v/>
      </c>
      <c r="E21" s="3">
        <f>D21*Assumptions!$E$9</f>
        <v/>
      </c>
      <c r="F21" s="3">
        <f>F20*(1-Assumptions!$E$11)+E21</f>
        <v/>
      </c>
      <c r="G21" s="3">
        <f>F21*Assumptions!$E$10</f>
        <v/>
      </c>
      <c r="H21" s="3">
        <f>IF(A21&gt;=Assumptions!$E$20,F21*Assumptions!$E$12,0)</f>
        <v/>
      </c>
      <c r="I21" s="3">
        <f>H21*Assumptions!$E$13</f>
        <v/>
      </c>
      <c r="J21" s="3">
        <f>I21*Assumptions!$E$14</f>
        <v/>
      </c>
      <c r="K21" s="3">
        <f>IF(A21&gt;=Assumptions!$E$21,F21*Assumptions!$E$15*Assumptions!$E$16,0)</f>
        <v/>
      </c>
      <c r="L21" s="3">
        <f>K21*Assumptions!$E$17</f>
        <v/>
      </c>
      <c r="M21" s="3">
        <f>IF(A21&gt;=Assumptions!$E$22,F21*Assumptions!$E$18*Assumptions!$E$19,0)</f>
        <v/>
      </c>
      <c r="N21" s="3">
        <f>G21+J21+L21+M21</f>
        <v/>
      </c>
      <c r="O21" s="3">
        <f>D21*Assumptions!$E$23+F21*Assumptions!$E$24</f>
        <v/>
      </c>
      <c r="P21" s="3">
        <f>G21*Assumptions!$E$25+F21*Assumptions!$E$26+(J21+L21+M21)*Assumptions!$E$27</f>
        <v/>
      </c>
      <c r="Q21" s="3">
        <f>D21*Assumptions!$E$28+H21*Assumptions!$E$29</f>
        <v/>
      </c>
      <c r="R21" s="3">
        <f>CHOOSE(B21,Assumptions!$E$30,Assumptions!$E$31,Assumptions!$E$32)+CHOOSE(B21,Assumptions!$E$33,Assumptions!$E$34,Assumptions!$E$35)+CHOOSE(B21,Assumptions!$E$36,Assumptions!$E$37,Assumptions!$E$38)</f>
        <v/>
      </c>
      <c r="S21" s="3">
        <f>O21+P21+Q21+R21</f>
        <v/>
      </c>
      <c r="T21" s="3">
        <f>N21-S21</f>
        <v/>
      </c>
      <c r="U21" s="3">
        <f>U20+T21</f>
        <v/>
      </c>
    </row>
    <row r="22">
      <c r="A22" t="n">
        <v>21</v>
      </c>
      <c r="B22">
        <f>INT((A22-1)/12)+1</f>
        <v/>
      </c>
      <c r="C22" s="12">
        <f>CHOOSE(B22,Assumptions!$E$6,Assumptions!$E$7,Assumptions!$E$8)</f>
        <v/>
      </c>
      <c r="D22" s="3">
        <f>D21*(1+C22)</f>
        <v/>
      </c>
      <c r="E22" s="3">
        <f>D22*Assumptions!$E$9</f>
        <v/>
      </c>
      <c r="F22" s="3">
        <f>F21*(1-Assumptions!$E$11)+E22</f>
        <v/>
      </c>
      <c r="G22" s="3">
        <f>F22*Assumptions!$E$10</f>
        <v/>
      </c>
      <c r="H22" s="3">
        <f>IF(A22&gt;=Assumptions!$E$20,F22*Assumptions!$E$12,0)</f>
        <v/>
      </c>
      <c r="I22" s="3">
        <f>H22*Assumptions!$E$13</f>
        <v/>
      </c>
      <c r="J22" s="3">
        <f>I22*Assumptions!$E$14</f>
        <v/>
      </c>
      <c r="K22" s="3">
        <f>IF(A22&gt;=Assumptions!$E$21,F22*Assumptions!$E$15*Assumptions!$E$16,0)</f>
        <v/>
      </c>
      <c r="L22" s="3">
        <f>K22*Assumptions!$E$17</f>
        <v/>
      </c>
      <c r="M22" s="3">
        <f>IF(A22&gt;=Assumptions!$E$22,F22*Assumptions!$E$18*Assumptions!$E$19,0)</f>
        <v/>
      </c>
      <c r="N22" s="3">
        <f>G22+J22+L22+M22</f>
        <v/>
      </c>
      <c r="O22" s="3">
        <f>D22*Assumptions!$E$23+F22*Assumptions!$E$24</f>
        <v/>
      </c>
      <c r="P22" s="3">
        <f>G22*Assumptions!$E$25+F22*Assumptions!$E$26+(J22+L22+M22)*Assumptions!$E$27</f>
        <v/>
      </c>
      <c r="Q22" s="3">
        <f>D22*Assumptions!$E$28+H22*Assumptions!$E$29</f>
        <v/>
      </c>
      <c r="R22" s="3">
        <f>CHOOSE(B22,Assumptions!$E$30,Assumptions!$E$31,Assumptions!$E$32)+CHOOSE(B22,Assumptions!$E$33,Assumptions!$E$34,Assumptions!$E$35)+CHOOSE(B22,Assumptions!$E$36,Assumptions!$E$37,Assumptions!$E$38)</f>
        <v/>
      </c>
      <c r="S22" s="3">
        <f>O22+P22+Q22+R22</f>
        <v/>
      </c>
      <c r="T22" s="3">
        <f>N22-S22</f>
        <v/>
      </c>
      <c r="U22" s="3">
        <f>U21+T22</f>
        <v/>
      </c>
    </row>
    <row r="23">
      <c r="A23" t="n">
        <v>22</v>
      </c>
      <c r="B23">
        <f>INT((A23-1)/12)+1</f>
        <v/>
      </c>
      <c r="C23" s="12">
        <f>CHOOSE(B23,Assumptions!$E$6,Assumptions!$E$7,Assumptions!$E$8)</f>
        <v/>
      </c>
      <c r="D23" s="3">
        <f>D22*(1+C23)</f>
        <v/>
      </c>
      <c r="E23" s="3">
        <f>D23*Assumptions!$E$9</f>
        <v/>
      </c>
      <c r="F23" s="3">
        <f>F22*(1-Assumptions!$E$11)+E23</f>
        <v/>
      </c>
      <c r="G23" s="3">
        <f>F23*Assumptions!$E$10</f>
        <v/>
      </c>
      <c r="H23" s="3">
        <f>IF(A23&gt;=Assumptions!$E$20,F23*Assumptions!$E$12,0)</f>
        <v/>
      </c>
      <c r="I23" s="3">
        <f>H23*Assumptions!$E$13</f>
        <v/>
      </c>
      <c r="J23" s="3">
        <f>I23*Assumptions!$E$14</f>
        <v/>
      </c>
      <c r="K23" s="3">
        <f>IF(A23&gt;=Assumptions!$E$21,F23*Assumptions!$E$15*Assumptions!$E$16,0)</f>
        <v/>
      </c>
      <c r="L23" s="3">
        <f>K23*Assumptions!$E$17</f>
        <v/>
      </c>
      <c r="M23" s="3">
        <f>IF(A23&gt;=Assumptions!$E$22,F23*Assumptions!$E$18*Assumptions!$E$19,0)</f>
        <v/>
      </c>
      <c r="N23" s="3">
        <f>G23+J23+L23+M23</f>
        <v/>
      </c>
      <c r="O23" s="3">
        <f>D23*Assumptions!$E$23+F23*Assumptions!$E$24</f>
        <v/>
      </c>
      <c r="P23" s="3">
        <f>G23*Assumptions!$E$25+F23*Assumptions!$E$26+(J23+L23+M23)*Assumptions!$E$27</f>
        <v/>
      </c>
      <c r="Q23" s="3">
        <f>D23*Assumptions!$E$28+H23*Assumptions!$E$29</f>
        <v/>
      </c>
      <c r="R23" s="3">
        <f>CHOOSE(B23,Assumptions!$E$30,Assumptions!$E$31,Assumptions!$E$32)+CHOOSE(B23,Assumptions!$E$33,Assumptions!$E$34,Assumptions!$E$35)+CHOOSE(B23,Assumptions!$E$36,Assumptions!$E$37,Assumptions!$E$38)</f>
        <v/>
      </c>
      <c r="S23" s="3">
        <f>O23+P23+Q23+R23</f>
        <v/>
      </c>
      <c r="T23" s="3">
        <f>N23-S23</f>
        <v/>
      </c>
      <c r="U23" s="3">
        <f>U22+T23</f>
        <v/>
      </c>
    </row>
    <row r="24">
      <c r="A24" t="n">
        <v>23</v>
      </c>
      <c r="B24">
        <f>INT((A24-1)/12)+1</f>
        <v/>
      </c>
      <c r="C24" s="12">
        <f>CHOOSE(B24,Assumptions!$E$6,Assumptions!$E$7,Assumptions!$E$8)</f>
        <v/>
      </c>
      <c r="D24" s="3">
        <f>D23*(1+C24)</f>
        <v/>
      </c>
      <c r="E24" s="3">
        <f>D24*Assumptions!$E$9</f>
        <v/>
      </c>
      <c r="F24" s="3">
        <f>F23*(1-Assumptions!$E$11)+E24</f>
        <v/>
      </c>
      <c r="G24" s="3">
        <f>F24*Assumptions!$E$10</f>
        <v/>
      </c>
      <c r="H24" s="3">
        <f>IF(A24&gt;=Assumptions!$E$20,F24*Assumptions!$E$12,0)</f>
        <v/>
      </c>
      <c r="I24" s="3">
        <f>H24*Assumptions!$E$13</f>
        <v/>
      </c>
      <c r="J24" s="3">
        <f>I24*Assumptions!$E$14</f>
        <v/>
      </c>
      <c r="K24" s="3">
        <f>IF(A24&gt;=Assumptions!$E$21,F24*Assumptions!$E$15*Assumptions!$E$16,0)</f>
        <v/>
      </c>
      <c r="L24" s="3">
        <f>K24*Assumptions!$E$17</f>
        <v/>
      </c>
      <c r="M24" s="3">
        <f>IF(A24&gt;=Assumptions!$E$22,F24*Assumptions!$E$18*Assumptions!$E$19,0)</f>
        <v/>
      </c>
      <c r="N24" s="3">
        <f>G24+J24+L24+M24</f>
        <v/>
      </c>
      <c r="O24" s="3">
        <f>D24*Assumptions!$E$23+F24*Assumptions!$E$24</f>
        <v/>
      </c>
      <c r="P24" s="3">
        <f>G24*Assumptions!$E$25+F24*Assumptions!$E$26+(J24+L24+M24)*Assumptions!$E$27</f>
        <v/>
      </c>
      <c r="Q24" s="3">
        <f>D24*Assumptions!$E$28+H24*Assumptions!$E$29</f>
        <v/>
      </c>
      <c r="R24" s="3">
        <f>CHOOSE(B24,Assumptions!$E$30,Assumptions!$E$31,Assumptions!$E$32)+CHOOSE(B24,Assumptions!$E$33,Assumptions!$E$34,Assumptions!$E$35)+CHOOSE(B24,Assumptions!$E$36,Assumptions!$E$37,Assumptions!$E$38)</f>
        <v/>
      </c>
      <c r="S24" s="3">
        <f>O24+P24+Q24+R24</f>
        <v/>
      </c>
      <c r="T24" s="3">
        <f>N24-S24</f>
        <v/>
      </c>
      <c r="U24" s="3">
        <f>U23+T24</f>
        <v/>
      </c>
    </row>
    <row r="25">
      <c r="A25" t="n">
        <v>24</v>
      </c>
      <c r="B25">
        <f>INT((A25-1)/12)+1</f>
        <v/>
      </c>
      <c r="C25" s="12">
        <f>CHOOSE(B25,Assumptions!$E$6,Assumptions!$E$7,Assumptions!$E$8)</f>
        <v/>
      </c>
      <c r="D25" s="3">
        <f>D24*(1+C25)</f>
        <v/>
      </c>
      <c r="E25" s="3">
        <f>D25*Assumptions!$E$9</f>
        <v/>
      </c>
      <c r="F25" s="3">
        <f>F24*(1-Assumptions!$E$11)+E25</f>
        <v/>
      </c>
      <c r="G25" s="3">
        <f>F25*Assumptions!$E$10</f>
        <v/>
      </c>
      <c r="H25" s="3">
        <f>IF(A25&gt;=Assumptions!$E$20,F25*Assumptions!$E$12,0)</f>
        <v/>
      </c>
      <c r="I25" s="3">
        <f>H25*Assumptions!$E$13</f>
        <v/>
      </c>
      <c r="J25" s="3">
        <f>I25*Assumptions!$E$14</f>
        <v/>
      </c>
      <c r="K25" s="3">
        <f>IF(A25&gt;=Assumptions!$E$21,F25*Assumptions!$E$15*Assumptions!$E$16,0)</f>
        <v/>
      </c>
      <c r="L25" s="3">
        <f>K25*Assumptions!$E$17</f>
        <v/>
      </c>
      <c r="M25" s="3">
        <f>IF(A25&gt;=Assumptions!$E$22,F25*Assumptions!$E$18*Assumptions!$E$19,0)</f>
        <v/>
      </c>
      <c r="N25" s="3">
        <f>G25+J25+L25+M25</f>
        <v/>
      </c>
      <c r="O25" s="3">
        <f>D25*Assumptions!$E$23+F25*Assumptions!$E$24</f>
        <v/>
      </c>
      <c r="P25" s="3">
        <f>G25*Assumptions!$E$25+F25*Assumptions!$E$26+(J25+L25+M25)*Assumptions!$E$27</f>
        <v/>
      </c>
      <c r="Q25" s="3">
        <f>D25*Assumptions!$E$28+H25*Assumptions!$E$29</f>
        <v/>
      </c>
      <c r="R25" s="3">
        <f>CHOOSE(B25,Assumptions!$E$30,Assumptions!$E$31,Assumptions!$E$32)+CHOOSE(B25,Assumptions!$E$33,Assumptions!$E$34,Assumptions!$E$35)+CHOOSE(B25,Assumptions!$E$36,Assumptions!$E$37,Assumptions!$E$38)</f>
        <v/>
      </c>
      <c r="S25" s="3">
        <f>O25+P25+Q25+R25</f>
        <v/>
      </c>
      <c r="T25" s="3">
        <f>N25-S25</f>
        <v/>
      </c>
      <c r="U25" s="3">
        <f>U24+T25</f>
        <v/>
      </c>
    </row>
    <row r="26">
      <c r="A26" t="n">
        <v>25</v>
      </c>
      <c r="B26">
        <f>INT((A26-1)/12)+1</f>
        <v/>
      </c>
      <c r="C26" s="12">
        <f>CHOOSE(B26,Assumptions!$E$6,Assumptions!$E$7,Assumptions!$E$8)</f>
        <v/>
      </c>
      <c r="D26" s="3">
        <f>D25*(1+C26)</f>
        <v/>
      </c>
      <c r="E26" s="3">
        <f>D26*Assumptions!$E$9</f>
        <v/>
      </c>
      <c r="F26" s="3">
        <f>F25*(1-Assumptions!$E$11)+E26</f>
        <v/>
      </c>
      <c r="G26" s="3">
        <f>F26*Assumptions!$E$10</f>
        <v/>
      </c>
      <c r="H26" s="3">
        <f>IF(A26&gt;=Assumptions!$E$20,F26*Assumptions!$E$12,0)</f>
        <v/>
      </c>
      <c r="I26" s="3">
        <f>H26*Assumptions!$E$13</f>
        <v/>
      </c>
      <c r="J26" s="3">
        <f>I26*Assumptions!$E$14</f>
        <v/>
      </c>
      <c r="K26" s="3">
        <f>IF(A26&gt;=Assumptions!$E$21,F26*Assumptions!$E$15*Assumptions!$E$16,0)</f>
        <v/>
      </c>
      <c r="L26" s="3">
        <f>K26*Assumptions!$E$17</f>
        <v/>
      </c>
      <c r="M26" s="3">
        <f>IF(A26&gt;=Assumptions!$E$22,F26*Assumptions!$E$18*Assumptions!$E$19,0)</f>
        <v/>
      </c>
      <c r="N26" s="3">
        <f>G26+J26+L26+M26</f>
        <v/>
      </c>
      <c r="O26" s="3">
        <f>D26*Assumptions!$E$23+F26*Assumptions!$E$24</f>
        <v/>
      </c>
      <c r="P26" s="3">
        <f>G26*Assumptions!$E$25+F26*Assumptions!$E$26+(J26+L26+M26)*Assumptions!$E$27</f>
        <v/>
      </c>
      <c r="Q26" s="3">
        <f>D26*Assumptions!$E$28+H26*Assumptions!$E$29</f>
        <v/>
      </c>
      <c r="R26" s="3">
        <f>CHOOSE(B26,Assumptions!$E$30,Assumptions!$E$31,Assumptions!$E$32)+CHOOSE(B26,Assumptions!$E$33,Assumptions!$E$34,Assumptions!$E$35)+CHOOSE(B26,Assumptions!$E$36,Assumptions!$E$37,Assumptions!$E$38)</f>
        <v/>
      </c>
      <c r="S26" s="3">
        <f>O26+P26+Q26+R26</f>
        <v/>
      </c>
      <c r="T26" s="3">
        <f>N26-S26</f>
        <v/>
      </c>
      <c r="U26" s="3">
        <f>U25+T26</f>
        <v/>
      </c>
    </row>
    <row r="27">
      <c r="A27" t="n">
        <v>26</v>
      </c>
      <c r="B27">
        <f>INT((A27-1)/12)+1</f>
        <v/>
      </c>
      <c r="C27" s="12">
        <f>CHOOSE(B27,Assumptions!$E$6,Assumptions!$E$7,Assumptions!$E$8)</f>
        <v/>
      </c>
      <c r="D27" s="3">
        <f>D26*(1+C27)</f>
        <v/>
      </c>
      <c r="E27" s="3">
        <f>D27*Assumptions!$E$9</f>
        <v/>
      </c>
      <c r="F27" s="3">
        <f>F26*(1-Assumptions!$E$11)+E27</f>
        <v/>
      </c>
      <c r="G27" s="3">
        <f>F27*Assumptions!$E$10</f>
        <v/>
      </c>
      <c r="H27" s="3">
        <f>IF(A27&gt;=Assumptions!$E$20,F27*Assumptions!$E$12,0)</f>
        <v/>
      </c>
      <c r="I27" s="3">
        <f>H27*Assumptions!$E$13</f>
        <v/>
      </c>
      <c r="J27" s="3">
        <f>I27*Assumptions!$E$14</f>
        <v/>
      </c>
      <c r="K27" s="3">
        <f>IF(A27&gt;=Assumptions!$E$21,F27*Assumptions!$E$15*Assumptions!$E$16,0)</f>
        <v/>
      </c>
      <c r="L27" s="3">
        <f>K27*Assumptions!$E$17</f>
        <v/>
      </c>
      <c r="M27" s="3">
        <f>IF(A27&gt;=Assumptions!$E$22,F27*Assumptions!$E$18*Assumptions!$E$19,0)</f>
        <v/>
      </c>
      <c r="N27" s="3">
        <f>G27+J27+L27+M27</f>
        <v/>
      </c>
      <c r="O27" s="3">
        <f>D27*Assumptions!$E$23+F27*Assumptions!$E$24</f>
        <v/>
      </c>
      <c r="P27" s="3">
        <f>G27*Assumptions!$E$25+F27*Assumptions!$E$26+(J27+L27+M27)*Assumptions!$E$27</f>
        <v/>
      </c>
      <c r="Q27" s="3">
        <f>D27*Assumptions!$E$28+H27*Assumptions!$E$29</f>
        <v/>
      </c>
      <c r="R27" s="3">
        <f>CHOOSE(B27,Assumptions!$E$30,Assumptions!$E$31,Assumptions!$E$32)+CHOOSE(B27,Assumptions!$E$33,Assumptions!$E$34,Assumptions!$E$35)+CHOOSE(B27,Assumptions!$E$36,Assumptions!$E$37,Assumptions!$E$38)</f>
        <v/>
      </c>
      <c r="S27" s="3">
        <f>O27+P27+Q27+R27</f>
        <v/>
      </c>
      <c r="T27" s="3">
        <f>N27-S27</f>
        <v/>
      </c>
      <c r="U27" s="3">
        <f>U26+T27</f>
        <v/>
      </c>
    </row>
    <row r="28">
      <c r="A28" t="n">
        <v>27</v>
      </c>
      <c r="B28">
        <f>INT((A28-1)/12)+1</f>
        <v/>
      </c>
      <c r="C28" s="12">
        <f>CHOOSE(B28,Assumptions!$E$6,Assumptions!$E$7,Assumptions!$E$8)</f>
        <v/>
      </c>
      <c r="D28" s="3">
        <f>D27*(1+C28)</f>
        <v/>
      </c>
      <c r="E28" s="3">
        <f>D28*Assumptions!$E$9</f>
        <v/>
      </c>
      <c r="F28" s="3">
        <f>F27*(1-Assumptions!$E$11)+E28</f>
        <v/>
      </c>
      <c r="G28" s="3">
        <f>F28*Assumptions!$E$10</f>
        <v/>
      </c>
      <c r="H28" s="3">
        <f>IF(A28&gt;=Assumptions!$E$20,F28*Assumptions!$E$12,0)</f>
        <v/>
      </c>
      <c r="I28" s="3">
        <f>H28*Assumptions!$E$13</f>
        <v/>
      </c>
      <c r="J28" s="3">
        <f>I28*Assumptions!$E$14</f>
        <v/>
      </c>
      <c r="K28" s="3">
        <f>IF(A28&gt;=Assumptions!$E$21,F28*Assumptions!$E$15*Assumptions!$E$16,0)</f>
        <v/>
      </c>
      <c r="L28" s="3">
        <f>K28*Assumptions!$E$17</f>
        <v/>
      </c>
      <c r="M28" s="3">
        <f>IF(A28&gt;=Assumptions!$E$22,F28*Assumptions!$E$18*Assumptions!$E$19,0)</f>
        <v/>
      </c>
      <c r="N28" s="3">
        <f>G28+J28+L28+M28</f>
        <v/>
      </c>
      <c r="O28" s="3">
        <f>D28*Assumptions!$E$23+F28*Assumptions!$E$24</f>
        <v/>
      </c>
      <c r="P28" s="3">
        <f>G28*Assumptions!$E$25+F28*Assumptions!$E$26+(J28+L28+M28)*Assumptions!$E$27</f>
        <v/>
      </c>
      <c r="Q28" s="3">
        <f>D28*Assumptions!$E$28+H28*Assumptions!$E$29</f>
        <v/>
      </c>
      <c r="R28" s="3">
        <f>CHOOSE(B28,Assumptions!$E$30,Assumptions!$E$31,Assumptions!$E$32)+CHOOSE(B28,Assumptions!$E$33,Assumptions!$E$34,Assumptions!$E$35)+CHOOSE(B28,Assumptions!$E$36,Assumptions!$E$37,Assumptions!$E$38)</f>
        <v/>
      </c>
      <c r="S28" s="3">
        <f>O28+P28+Q28+R28</f>
        <v/>
      </c>
      <c r="T28" s="3">
        <f>N28-S28</f>
        <v/>
      </c>
      <c r="U28" s="3">
        <f>U27+T28</f>
        <v/>
      </c>
    </row>
    <row r="29">
      <c r="A29" t="n">
        <v>28</v>
      </c>
      <c r="B29">
        <f>INT((A29-1)/12)+1</f>
        <v/>
      </c>
      <c r="C29" s="12">
        <f>CHOOSE(B29,Assumptions!$E$6,Assumptions!$E$7,Assumptions!$E$8)</f>
        <v/>
      </c>
      <c r="D29" s="3">
        <f>D28*(1+C29)</f>
        <v/>
      </c>
      <c r="E29" s="3">
        <f>D29*Assumptions!$E$9</f>
        <v/>
      </c>
      <c r="F29" s="3">
        <f>F28*(1-Assumptions!$E$11)+E29</f>
        <v/>
      </c>
      <c r="G29" s="3">
        <f>F29*Assumptions!$E$10</f>
        <v/>
      </c>
      <c r="H29" s="3">
        <f>IF(A29&gt;=Assumptions!$E$20,F29*Assumptions!$E$12,0)</f>
        <v/>
      </c>
      <c r="I29" s="3">
        <f>H29*Assumptions!$E$13</f>
        <v/>
      </c>
      <c r="J29" s="3">
        <f>I29*Assumptions!$E$14</f>
        <v/>
      </c>
      <c r="K29" s="3">
        <f>IF(A29&gt;=Assumptions!$E$21,F29*Assumptions!$E$15*Assumptions!$E$16,0)</f>
        <v/>
      </c>
      <c r="L29" s="3">
        <f>K29*Assumptions!$E$17</f>
        <v/>
      </c>
      <c r="M29" s="3">
        <f>IF(A29&gt;=Assumptions!$E$22,F29*Assumptions!$E$18*Assumptions!$E$19,0)</f>
        <v/>
      </c>
      <c r="N29" s="3">
        <f>G29+J29+L29+M29</f>
        <v/>
      </c>
      <c r="O29" s="3">
        <f>D29*Assumptions!$E$23+F29*Assumptions!$E$24</f>
        <v/>
      </c>
      <c r="P29" s="3">
        <f>G29*Assumptions!$E$25+F29*Assumptions!$E$26+(J29+L29+M29)*Assumptions!$E$27</f>
        <v/>
      </c>
      <c r="Q29" s="3">
        <f>D29*Assumptions!$E$28+H29*Assumptions!$E$29</f>
        <v/>
      </c>
      <c r="R29" s="3">
        <f>CHOOSE(B29,Assumptions!$E$30,Assumptions!$E$31,Assumptions!$E$32)+CHOOSE(B29,Assumptions!$E$33,Assumptions!$E$34,Assumptions!$E$35)+CHOOSE(B29,Assumptions!$E$36,Assumptions!$E$37,Assumptions!$E$38)</f>
        <v/>
      </c>
      <c r="S29" s="3">
        <f>O29+P29+Q29+R29</f>
        <v/>
      </c>
      <c r="T29" s="3">
        <f>N29-S29</f>
        <v/>
      </c>
      <c r="U29" s="3">
        <f>U28+T29</f>
        <v/>
      </c>
    </row>
    <row r="30">
      <c r="A30" t="n">
        <v>29</v>
      </c>
      <c r="B30">
        <f>INT((A30-1)/12)+1</f>
        <v/>
      </c>
      <c r="C30" s="12">
        <f>CHOOSE(B30,Assumptions!$E$6,Assumptions!$E$7,Assumptions!$E$8)</f>
        <v/>
      </c>
      <c r="D30" s="3">
        <f>D29*(1+C30)</f>
        <v/>
      </c>
      <c r="E30" s="3">
        <f>D30*Assumptions!$E$9</f>
        <v/>
      </c>
      <c r="F30" s="3">
        <f>F29*(1-Assumptions!$E$11)+E30</f>
        <v/>
      </c>
      <c r="G30" s="3">
        <f>F30*Assumptions!$E$10</f>
        <v/>
      </c>
      <c r="H30" s="3">
        <f>IF(A30&gt;=Assumptions!$E$20,F30*Assumptions!$E$12,0)</f>
        <v/>
      </c>
      <c r="I30" s="3">
        <f>H30*Assumptions!$E$13</f>
        <v/>
      </c>
      <c r="J30" s="3">
        <f>I30*Assumptions!$E$14</f>
        <v/>
      </c>
      <c r="K30" s="3">
        <f>IF(A30&gt;=Assumptions!$E$21,F30*Assumptions!$E$15*Assumptions!$E$16,0)</f>
        <v/>
      </c>
      <c r="L30" s="3">
        <f>K30*Assumptions!$E$17</f>
        <v/>
      </c>
      <c r="M30" s="3">
        <f>IF(A30&gt;=Assumptions!$E$22,F30*Assumptions!$E$18*Assumptions!$E$19,0)</f>
        <v/>
      </c>
      <c r="N30" s="3">
        <f>G30+J30+L30+M30</f>
        <v/>
      </c>
      <c r="O30" s="3">
        <f>D30*Assumptions!$E$23+F30*Assumptions!$E$24</f>
        <v/>
      </c>
      <c r="P30" s="3">
        <f>G30*Assumptions!$E$25+F30*Assumptions!$E$26+(J30+L30+M30)*Assumptions!$E$27</f>
        <v/>
      </c>
      <c r="Q30" s="3">
        <f>D30*Assumptions!$E$28+H30*Assumptions!$E$29</f>
        <v/>
      </c>
      <c r="R30" s="3">
        <f>CHOOSE(B30,Assumptions!$E$30,Assumptions!$E$31,Assumptions!$E$32)+CHOOSE(B30,Assumptions!$E$33,Assumptions!$E$34,Assumptions!$E$35)+CHOOSE(B30,Assumptions!$E$36,Assumptions!$E$37,Assumptions!$E$38)</f>
        <v/>
      </c>
      <c r="S30" s="3">
        <f>O30+P30+Q30+R30</f>
        <v/>
      </c>
      <c r="T30" s="3">
        <f>N30-S30</f>
        <v/>
      </c>
      <c r="U30" s="3">
        <f>U29+T30</f>
        <v/>
      </c>
    </row>
    <row r="31">
      <c r="A31" t="n">
        <v>30</v>
      </c>
      <c r="B31">
        <f>INT((A31-1)/12)+1</f>
        <v/>
      </c>
      <c r="C31" s="12">
        <f>CHOOSE(B31,Assumptions!$E$6,Assumptions!$E$7,Assumptions!$E$8)</f>
        <v/>
      </c>
      <c r="D31" s="3">
        <f>D30*(1+C31)</f>
        <v/>
      </c>
      <c r="E31" s="3">
        <f>D31*Assumptions!$E$9</f>
        <v/>
      </c>
      <c r="F31" s="3">
        <f>F30*(1-Assumptions!$E$11)+E31</f>
        <v/>
      </c>
      <c r="G31" s="3">
        <f>F31*Assumptions!$E$10</f>
        <v/>
      </c>
      <c r="H31" s="3">
        <f>IF(A31&gt;=Assumptions!$E$20,F31*Assumptions!$E$12,0)</f>
        <v/>
      </c>
      <c r="I31" s="3">
        <f>H31*Assumptions!$E$13</f>
        <v/>
      </c>
      <c r="J31" s="3">
        <f>I31*Assumptions!$E$14</f>
        <v/>
      </c>
      <c r="K31" s="3">
        <f>IF(A31&gt;=Assumptions!$E$21,F31*Assumptions!$E$15*Assumptions!$E$16,0)</f>
        <v/>
      </c>
      <c r="L31" s="3">
        <f>K31*Assumptions!$E$17</f>
        <v/>
      </c>
      <c r="M31" s="3">
        <f>IF(A31&gt;=Assumptions!$E$22,F31*Assumptions!$E$18*Assumptions!$E$19,0)</f>
        <v/>
      </c>
      <c r="N31" s="3">
        <f>G31+J31+L31+M31</f>
        <v/>
      </c>
      <c r="O31" s="3">
        <f>D31*Assumptions!$E$23+F31*Assumptions!$E$24</f>
        <v/>
      </c>
      <c r="P31" s="3">
        <f>G31*Assumptions!$E$25+F31*Assumptions!$E$26+(J31+L31+M31)*Assumptions!$E$27</f>
        <v/>
      </c>
      <c r="Q31" s="3">
        <f>D31*Assumptions!$E$28+H31*Assumptions!$E$29</f>
        <v/>
      </c>
      <c r="R31" s="3">
        <f>CHOOSE(B31,Assumptions!$E$30,Assumptions!$E$31,Assumptions!$E$32)+CHOOSE(B31,Assumptions!$E$33,Assumptions!$E$34,Assumptions!$E$35)+CHOOSE(B31,Assumptions!$E$36,Assumptions!$E$37,Assumptions!$E$38)</f>
        <v/>
      </c>
      <c r="S31" s="3">
        <f>O31+P31+Q31+R31</f>
        <v/>
      </c>
      <c r="T31" s="3">
        <f>N31-S31</f>
        <v/>
      </c>
      <c r="U31" s="3">
        <f>U30+T31</f>
        <v/>
      </c>
    </row>
    <row r="32">
      <c r="A32" t="n">
        <v>31</v>
      </c>
      <c r="B32">
        <f>INT((A32-1)/12)+1</f>
        <v/>
      </c>
      <c r="C32" s="12">
        <f>CHOOSE(B32,Assumptions!$E$6,Assumptions!$E$7,Assumptions!$E$8)</f>
        <v/>
      </c>
      <c r="D32" s="3">
        <f>D31*(1+C32)</f>
        <v/>
      </c>
      <c r="E32" s="3">
        <f>D32*Assumptions!$E$9</f>
        <v/>
      </c>
      <c r="F32" s="3">
        <f>F31*(1-Assumptions!$E$11)+E32</f>
        <v/>
      </c>
      <c r="G32" s="3">
        <f>F32*Assumptions!$E$10</f>
        <v/>
      </c>
      <c r="H32" s="3">
        <f>IF(A32&gt;=Assumptions!$E$20,F32*Assumptions!$E$12,0)</f>
        <v/>
      </c>
      <c r="I32" s="3">
        <f>H32*Assumptions!$E$13</f>
        <v/>
      </c>
      <c r="J32" s="3">
        <f>I32*Assumptions!$E$14</f>
        <v/>
      </c>
      <c r="K32" s="3">
        <f>IF(A32&gt;=Assumptions!$E$21,F32*Assumptions!$E$15*Assumptions!$E$16,0)</f>
        <v/>
      </c>
      <c r="L32" s="3">
        <f>K32*Assumptions!$E$17</f>
        <v/>
      </c>
      <c r="M32" s="3">
        <f>IF(A32&gt;=Assumptions!$E$22,F32*Assumptions!$E$18*Assumptions!$E$19,0)</f>
        <v/>
      </c>
      <c r="N32" s="3">
        <f>G32+J32+L32+M32</f>
        <v/>
      </c>
      <c r="O32" s="3">
        <f>D32*Assumptions!$E$23+F32*Assumptions!$E$24</f>
        <v/>
      </c>
      <c r="P32" s="3">
        <f>G32*Assumptions!$E$25+F32*Assumptions!$E$26+(J32+L32+M32)*Assumptions!$E$27</f>
        <v/>
      </c>
      <c r="Q32" s="3">
        <f>D32*Assumptions!$E$28+H32*Assumptions!$E$29</f>
        <v/>
      </c>
      <c r="R32" s="3">
        <f>CHOOSE(B32,Assumptions!$E$30,Assumptions!$E$31,Assumptions!$E$32)+CHOOSE(B32,Assumptions!$E$33,Assumptions!$E$34,Assumptions!$E$35)+CHOOSE(B32,Assumptions!$E$36,Assumptions!$E$37,Assumptions!$E$38)</f>
        <v/>
      </c>
      <c r="S32" s="3">
        <f>O32+P32+Q32+R32</f>
        <v/>
      </c>
      <c r="T32" s="3">
        <f>N32-S32</f>
        <v/>
      </c>
      <c r="U32" s="3">
        <f>U31+T32</f>
        <v/>
      </c>
    </row>
    <row r="33">
      <c r="A33" t="n">
        <v>32</v>
      </c>
      <c r="B33">
        <f>INT((A33-1)/12)+1</f>
        <v/>
      </c>
      <c r="C33" s="12">
        <f>CHOOSE(B33,Assumptions!$E$6,Assumptions!$E$7,Assumptions!$E$8)</f>
        <v/>
      </c>
      <c r="D33" s="3">
        <f>D32*(1+C33)</f>
        <v/>
      </c>
      <c r="E33" s="3">
        <f>D33*Assumptions!$E$9</f>
        <v/>
      </c>
      <c r="F33" s="3">
        <f>F32*(1-Assumptions!$E$11)+E33</f>
        <v/>
      </c>
      <c r="G33" s="3">
        <f>F33*Assumptions!$E$10</f>
        <v/>
      </c>
      <c r="H33" s="3">
        <f>IF(A33&gt;=Assumptions!$E$20,F33*Assumptions!$E$12,0)</f>
        <v/>
      </c>
      <c r="I33" s="3">
        <f>H33*Assumptions!$E$13</f>
        <v/>
      </c>
      <c r="J33" s="3">
        <f>I33*Assumptions!$E$14</f>
        <v/>
      </c>
      <c r="K33" s="3">
        <f>IF(A33&gt;=Assumptions!$E$21,F33*Assumptions!$E$15*Assumptions!$E$16,0)</f>
        <v/>
      </c>
      <c r="L33" s="3">
        <f>K33*Assumptions!$E$17</f>
        <v/>
      </c>
      <c r="M33" s="3">
        <f>IF(A33&gt;=Assumptions!$E$22,F33*Assumptions!$E$18*Assumptions!$E$19,0)</f>
        <v/>
      </c>
      <c r="N33" s="3">
        <f>G33+J33+L33+M33</f>
        <v/>
      </c>
      <c r="O33" s="3">
        <f>D33*Assumptions!$E$23+F33*Assumptions!$E$24</f>
        <v/>
      </c>
      <c r="P33" s="3">
        <f>G33*Assumptions!$E$25+F33*Assumptions!$E$26+(J33+L33+M33)*Assumptions!$E$27</f>
        <v/>
      </c>
      <c r="Q33" s="3">
        <f>D33*Assumptions!$E$28+H33*Assumptions!$E$29</f>
        <v/>
      </c>
      <c r="R33" s="3">
        <f>CHOOSE(B33,Assumptions!$E$30,Assumptions!$E$31,Assumptions!$E$32)+CHOOSE(B33,Assumptions!$E$33,Assumptions!$E$34,Assumptions!$E$35)+CHOOSE(B33,Assumptions!$E$36,Assumptions!$E$37,Assumptions!$E$38)</f>
        <v/>
      </c>
      <c r="S33" s="3">
        <f>O33+P33+Q33+R33</f>
        <v/>
      </c>
      <c r="T33" s="3">
        <f>N33-S33</f>
        <v/>
      </c>
      <c r="U33" s="3">
        <f>U32+T33</f>
        <v/>
      </c>
    </row>
    <row r="34">
      <c r="A34" t="n">
        <v>33</v>
      </c>
      <c r="B34">
        <f>INT((A34-1)/12)+1</f>
        <v/>
      </c>
      <c r="C34" s="12">
        <f>CHOOSE(B34,Assumptions!$E$6,Assumptions!$E$7,Assumptions!$E$8)</f>
        <v/>
      </c>
      <c r="D34" s="3">
        <f>D33*(1+C34)</f>
        <v/>
      </c>
      <c r="E34" s="3">
        <f>D34*Assumptions!$E$9</f>
        <v/>
      </c>
      <c r="F34" s="3">
        <f>F33*(1-Assumptions!$E$11)+E34</f>
        <v/>
      </c>
      <c r="G34" s="3">
        <f>F34*Assumptions!$E$10</f>
        <v/>
      </c>
      <c r="H34" s="3">
        <f>IF(A34&gt;=Assumptions!$E$20,F34*Assumptions!$E$12,0)</f>
        <v/>
      </c>
      <c r="I34" s="3">
        <f>H34*Assumptions!$E$13</f>
        <v/>
      </c>
      <c r="J34" s="3">
        <f>I34*Assumptions!$E$14</f>
        <v/>
      </c>
      <c r="K34" s="3">
        <f>IF(A34&gt;=Assumptions!$E$21,F34*Assumptions!$E$15*Assumptions!$E$16,0)</f>
        <v/>
      </c>
      <c r="L34" s="3">
        <f>K34*Assumptions!$E$17</f>
        <v/>
      </c>
      <c r="M34" s="3">
        <f>IF(A34&gt;=Assumptions!$E$22,F34*Assumptions!$E$18*Assumptions!$E$19,0)</f>
        <v/>
      </c>
      <c r="N34" s="3">
        <f>G34+J34+L34+M34</f>
        <v/>
      </c>
      <c r="O34" s="3">
        <f>D34*Assumptions!$E$23+F34*Assumptions!$E$24</f>
        <v/>
      </c>
      <c r="P34" s="3">
        <f>G34*Assumptions!$E$25+F34*Assumptions!$E$26+(J34+L34+M34)*Assumptions!$E$27</f>
        <v/>
      </c>
      <c r="Q34" s="3">
        <f>D34*Assumptions!$E$28+H34*Assumptions!$E$29</f>
        <v/>
      </c>
      <c r="R34" s="3">
        <f>CHOOSE(B34,Assumptions!$E$30,Assumptions!$E$31,Assumptions!$E$32)+CHOOSE(B34,Assumptions!$E$33,Assumptions!$E$34,Assumptions!$E$35)+CHOOSE(B34,Assumptions!$E$36,Assumptions!$E$37,Assumptions!$E$38)</f>
        <v/>
      </c>
      <c r="S34" s="3">
        <f>O34+P34+Q34+R34</f>
        <v/>
      </c>
      <c r="T34" s="3">
        <f>N34-S34</f>
        <v/>
      </c>
      <c r="U34" s="3">
        <f>U33+T34</f>
        <v/>
      </c>
    </row>
    <row r="35">
      <c r="A35" t="n">
        <v>34</v>
      </c>
      <c r="B35">
        <f>INT((A35-1)/12)+1</f>
        <v/>
      </c>
      <c r="C35" s="12">
        <f>CHOOSE(B35,Assumptions!$E$6,Assumptions!$E$7,Assumptions!$E$8)</f>
        <v/>
      </c>
      <c r="D35" s="3">
        <f>D34*(1+C35)</f>
        <v/>
      </c>
      <c r="E35" s="3">
        <f>D35*Assumptions!$E$9</f>
        <v/>
      </c>
      <c r="F35" s="3">
        <f>F34*(1-Assumptions!$E$11)+E35</f>
        <v/>
      </c>
      <c r="G35" s="3">
        <f>F35*Assumptions!$E$10</f>
        <v/>
      </c>
      <c r="H35" s="3">
        <f>IF(A35&gt;=Assumptions!$E$20,F35*Assumptions!$E$12,0)</f>
        <v/>
      </c>
      <c r="I35" s="3">
        <f>H35*Assumptions!$E$13</f>
        <v/>
      </c>
      <c r="J35" s="3">
        <f>I35*Assumptions!$E$14</f>
        <v/>
      </c>
      <c r="K35" s="3">
        <f>IF(A35&gt;=Assumptions!$E$21,F35*Assumptions!$E$15*Assumptions!$E$16,0)</f>
        <v/>
      </c>
      <c r="L35" s="3">
        <f>K35*Assumptions!$E$17</f>
        <v/>
      </c>
      <c r="M35" s="3">
        <f>IF(A35&gt;=Assumptions!$E$22,F35*Assumptions!$E$18*Assumptions!$E$19,0)</f>
        <v/>
      </c>
      <c r="N35" s="3">
        <f>G35+J35+L35+M35</f>
        <v/>
      </c>
      <c r="O35" s="3">
        <f>D35*Assumptions!$E$23+F35*Assumptions!$E$24</f>
        <v/>
      </c>
      <c r="P35" s="3">
        <f>G35*Assumptions!$E$25+F35*Assumptions!$E$26+(J35+L35+M35)*Assumptions!$E$27</f>
        <v/>
      </c>
      <c r="Q35" s="3">
        <f>D35*Assumptions!$E$28+H35*Assumptions!$E$29</f>
        <v/>
      </c>
      <c r="R35" s="3">
        <f>CHOOSE(B35,Assumptions!$E$30,Assumptions!$E$31,Assumptions!$E$32)+CHOOSE(B35,Assumptions!$E$33,Assumptions!$E$34,Assumptions!$E$35)+CHOOSE(B35,Assumptions!$E$36,Assumptions!$E$37,Assumptions!$E$38)</f>
        <v/>
      </c>
      <c r="S35" s="3">
        <f>O35+P35+Q35+R35</f>
        <v/>
      </c>
      <c r="T35" s="3">
        <f>N35-S35</f>
        <v/>
      </c>
      <c r="U35" s="3">
        <f>U34+T35</f>
        <v/>
      </c>
    </row>
    <row r="36">
      <c r="A36" t="n">
        <v>35</v>
      </c>
      <c r="B36">
        <f>INT((A36-1)/12)+1</f>
        <v/>
      </c>
      <c r="C36" s="12">
        <f>CHOOSE(B36,Assumptions!$E$6,Assumptions!$E$7,Assumptions!$E$8)</f>
        <v/>
      </c>
      <c r="D36" s="3">
        <f>D35*(1+C36)</f>
        <v/>
      </c>
      <c r="E36" s="3">
        <f>D36*Assumptions!$E$9</f>
        <v/>
      </c>
      <c r="F36" s="3">
        <f>F35*(1-Assumptions!$E$11)+E36</f>
        <v/>
      </c>
      <c r="G36" s="3">
        <f>F36*Assumptions!$E$10</f>
        <v/>
      </c>
      <c r="H36" s="3">
        <f>IF(A36&gt;=Assumptions!$E$20,F36*Assumptions!$E$12,0)</f>
        <v/>
      </c>
      <c r="I36" s="3">
        <f>H36*Assumptions!$E$13</f>
        <v/>
      </c>
      <c r="J36" s="3">
        <f>I36*Assumptions!$E$14</f>
        <v/>
      </c>
      <c r="K36" s="3">
        <f>IF(A36&gt;=Assumptions!$E$21,F36*Assumptions!$E$15*Assumptions!$E$16,0)</f>
        <v/>
      </c>
      <c r="L36" s="3">
        <f>K36*Assumptions!$E$17</f>
        <v/>
      </c>
      <c r="M36" s="3">
        <f>IF(A36&gt;=Assumptions!$E$22,F36*Assumptions!$E$18*Assumptions!$E$19,0)</f>
        <v/>
      </c>
      <c r="N36" s="3">
        <f>G36+J36+L36+M36</f>
        <v/>
      </c>
      <c r="O36" s="3">
        <f>D36*Assumptions!$E$23+F36*Assumptions!$E$24</f>
        <v/>
      </c>
      <c r="P36" s="3">
        <f>G36*Assumptions!$E$25+F36*Assumptions!$E$26+(J36+L36+M36)*Assumptions!$E$27</f>
        <v/>
      </c>
      <c r="Q36" s="3">
        <f>D36*Assumptions!$E$28+H36*Assumptions!$E$29</f>
        <v/>
      </c>
      <c r="R36" s="3">
        <f>CHOOSE(B36,Assumptions!$E$30,Assumptions!$E$31,Assumptions!$E$32)+CHOOSE(B36,Assumptions!$E$33,Assumptions!$E$34,Assumptions!$E$35)+CHOOSE(B36,Assumptions!$E$36,Assumptions!$E$37,Assumptions!$E$38)</f>
        <v/>
      </c>
      <c r="S36" s="3">
        <f>O36+P36+Q36+R36</f>
        <v/>
      </c>
      <c r="T36" s="3">
        <f>N36-S36</f>
        <v/>
      </c>
      <c r="U36" s="3">
        <f>U35+T36</f>
        <v/>
      </c>
    </row>
    <row r="37">
      <c r="A37" t="n">
        <v>36</v>
      </c>
      <c r="B37">
        <f>INT((A37-1)/12)+1</f>
        <v/>
      </c>
      <c r="C37" s="12">
        <f>CHOOSE(B37,Assumptions!$E$6,Assumptions!$E$7,Assumptions!$E$8)</f>
        <v/>
      </c>
      <c r="D37" s="3">
        <f>D36*(1+C37)</f>
        <v/>
      </c>
      <c r="E37" s="3">
        <f>D37*Assumptions!$E$9</f>
        <v/>
      </c>
      <c r="F37" s="3">
        <f>F36*(1-Assumptions!$E$11)+E37</f>
        <v/>
      </c>
      <c r="G37" s="3">
        <f>F37*Assumptions!$E$10</f>
        <v/>
      </c>
      <c r="H37" s="3">
        <f>IF(A37&gt;=Assumptions!$E$20,F37*Assumptions!$E$12,0)</f>
        <v/>
      </c>
      <c r="I37" s="3">
        <f>H37*Assumptions!$E$13</f>
        <v/>
      </c>
      <c r="J37" s="3">
        <f>I37*Assumptions!$E$14</f>
        <v/>
      </c>
      <c r="K37" s="3">
        <f>IF(A37&gt;=Assumptions!$E$21,F37*Assumptions!$E$15*Assumptions!$E$16,0)</f>
        <v/>
      </c>
      <c r="L37" s="3">
        <f>K37*Assumptions!$E$17</f>
        <v/>
      </c>
      <c r="M37" s="3">
        <f>IF(A37&gt;=Assumptions!$E$22,F37*Assumptions!$E$18*Assumptions!$E$19,0)</f>
        <v/>
      </c>
      <c r="N37" s="3">
        <f>G37+J37+L37+M37</f>
        <v/>
      </c>
      <c r="O37" s="3">
        <f>D37*Assumptions!$E$23+F37*Assumptions!$E$24</f>
        <v/>
      </c>
      <c r="P37" s="3">
        <f>G37*Assumptions!$E$25+F37*Assumptions!$E$26+(J37+L37+M37)*Assumptions!$E$27</f>
        <v/>
      </c>
      <c r="Q37" s="3">
        <f>D37*Assumptions!$E$28+H37*Assumptions!$E$29</f>
        <v/>
      </c>
      <c r="R37" s="3">
        <f>CHOOSE(B37,Assumptions!$E$30,Assumptions!$E$31,Assumptions!$E$32)+CHOOSE(B37,Assumptions!$E$33,Assumptions!$E$34,Assumptions!$E$35)+CHOOSE(B37,Assumptions!$E$36,Assumptions!$E$37,Assumptions!$E$38)</f>
        <v/>
      </c>
      <c r="S37" s="3">
        <f>O37+P37+Q37+R37</f>
        <v/>
      </c>
      <c r="T37" s="3">
        <f>N37-S37</f>
        <v/>
      </c>
      <c r="U37" s="3">
        <f>U36+T37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Values computed for all three scenarios with the default assumptions (static; the Summary sheet recalculates for the selected one).</t>
        </is>
      </c>
    </row>
    <row r="3">
      <c r="A3" s="2" t="inlineStr">
        <is>
          <t>Scenario</t>
        </is>
      </c>
      <c r="B3" s="2" t="inlineStr">
        <is>
          <t>Year</t>
        </is>
      </c>
      <c r="C3" s="2" t="inlineStr">
        <is>
          <t>Sign-ups</t>
        </is>
      </c>
      <c r="D3" s="2" t="inlineStr">
        <is>
          <t>Subscribers (end)</t>
        </is>
      </c>
      <c r="E3" s="2" t="inlineStr">
        <is>
          <t>Revenue</t>
        </is>
      </c>
      <c r="F3" s="2" t="inlineStr">
        <is>
          <t>Costs</t>
        </is>
      </c>
      <c r="G3" s="2" t="inlineStr">
        <is>
          <t>Profit</t>
        </is>
      </c>
      <c r="H3" s="2" t="inlineStr">
        <is>
          <t>Monthly revenue (end)</t>
        </is>
      </c>
    </row>
    <row r="4">
      <c r="A4" t="inlineStr">
        <is>
          <t>Low</t>
        </is>
      </c>
      <c r="B4" t="n">
        <v>1</v>
      </c>
      <c r="C4" s="3" t="n">
        <v>3208</v>
      </c>
      <c r="D4" s="3" t="n">
        <v>43</v>
      </c>
      <c r="E4" s="3" t="n">
        <v>6015</v>
      </c>
      <c r="F4" s="3" t="n">
        <v>24254</v>
      </c>
      <c r="G4" s="3" t="n">
        <v>-18239</v>
      </c>
      <c r="H4" s="3" t="n">
        <v>1028</v>
      </c>
    </row>
    <row r="5">
      <c r="A5" t="inlineStr">
        <is>
          <t>Low</t>
        </is>
      </c>
      <c r="B5" t="n">
        <v>2</v>
      </c>
      <c r="C5" s="3" t="n">
        <v>7153</v>
      </c>
      <c r="D5" s="3" t="n">
        <v>103</v>
      </c>
      <c r="E5" s="3" t="n">
        <v>23526</v>
      </c>
      <c r="F5" s="3" t="n">
        <v>278793</v>
      </c>
      <c r="G5" s="3" t="n">
        <v>-255267</v>
      </c>
      <c r="H5" s="3" t="n">
        <v>2775</v>
      </c>
    </row>
    <row r="6">
      <c r="A6" t="inlineStr">
        <is>
          <t>Low</t>
        </is>
      </c>
      <c r="B6" t="n">
        <v>3</v>
      </c>
      <c r="C6" s="3" t="n">
        <v>11235</v>
      </c>
      <c r="D6" s="3" t="n">
        <v>168</v>
      </c>
      <c r="E6" s="3" t="n">
        <v>44752</v>
      </c>
      <c r="F6" s="3" t="n">
        <v>621739</v>
      </c>
      <c r="G6" s="3" t="n">
        <v>-576987</v>
      </c>
      <c r="H6" s="3" t="n">
        <v>4543</v>
      </c>
    </row>
    <row r="7">
      <c r="A7" t="inlineStr">
        <is>
          <t>Base</t>
        </is>
      </c>
      <c r="B7" t="n">
        <v>1</v>
      </c>
      <c r="C7" s="3" t="n">
        <v>8701</v>
      </c>
      <c r="D7" s="3" t="n">
        <v>269</v>
      </c>
      <c r="E7" s="3" t="n">
        <v>42900</v>
      </c>
      <c r="F7" s="3" t="n">
        <v>43158</v>
      </c>
      <c r="G7" s="3" t="n">
        <v>-258</v>
      </c>
      <c r="H7" s="3" t="n">
        <v>8662</v>
      </c>
    </row>
    <row r="8">
      <c r="A8" t="inlineStr">
        <is>
          <t>Base</t>
        </is>
      </c>
      <c r="B8" t="n">
        <v>2</v>
      </c>
      <c r="C8" s="3" t="n">
        <v>28606</v>
      </c>
      <c r="D8" s="3" t="n">
        <v>957</v>
      </c>
      <c r="E8" s="3" t="n">
        <v>285420</v>
      </c>
      <c r="F8" s="3" t="n">
        <v>366045</v>
      </c>
      <c r="G8" s="3" t="n">
        <v>-80624</v>
      </c>
      <c r="H8" s="3" t="n">
        <v>39219</v>
      </c>
    </row>
    <row r="9">
      <c r="A9" t="inlineStr">
        <is>
          <t>Base</t>
        </is>
      </c>
      <c r="B9" t="n">
        <v>3</v>
      </c>
      <c r="C9" s="3" t="n">
        <v>54923</v>
      </c>
      <c r="D9" s="3" t="n">
        <v>1972</v>
      </c>
      <c r="E9" s="3" t="n">
        <v>733597</v>
      </c>
      <c r="F9" s="3" t="n">
        <v>818314</v>
      </c>
      <c r="G9" s="3" t="n">
        <v>-84717</v>
      </c>
      <c r="H9" s="3" t="n">
        <v>80855</v>
      </c>
    </row>
    <row r="10">
      <c r="A10" t="inlineStr">
        <is>
          <t>High</t>
        </is>
      </c>
      <c r="B10" t="n">
        <v>1</v>
      </c>
      <c r="C10" s="3" t="n">
        <v>23748</v>
      </c>
      <c r="D10" s="3" t="n">
        <v>1407</v>
      </c>
      <c r="E10" s="3" t="n">
        <v>304374</v>
      </c>
      <c r="F10" s="3" t="n">
        <v>112597</v>
      </c>
      <c r="G10" s="3" t="n">
        <v>191777</v>
      </c>
      <c r="H10" s="3" t="n">
        <v>71763</v>
      </c>
    </row>
    <row r="11">
      <c r="A11" t="inlineStr">
        <is>
          <t>High</t>
        </is>
      </c>
      <c r="B11" t="n">
        <v>2</v>
      </c>
      <c r="C11" s="3" t="n">
        <v>104865</v>
      </c>
      <c r="D11" s="3" t="n">
        <v>6706</v>
      </c>
      <c r="E11" s="3" t="n">
        <v>3463575</v>
      </c>
      <c r="F11" s="3" t="n">
        <v>856849</v>
      </c>
      <c r="G11" s="3" t="n">
        <v>2606726</v>
      </c>
      <c r="H11" s="3" t="n">
        <v>523064</v>
      </c>
    </row>
    <row r="12">
      <c r="A12" t="inlineStr">
        <is>
          <t>High</t>
        </is>
      </c>
      <c r="B12" t="n">
        <v>3</v>
      </c>
      <c r="C12" s="3" t="n">
        <v>233836</v>
      </c>
      <c r="D12" s="3" t="n">
        <v>16535</v>
      </c>
      <c r="E12" s="3" t="n">
        <v>10968771</v>
      </c>
      <c r="F12" s="3" t="n">
        <v>2219786</v>
      </c>
      <c r="G12" s="3" t="n">
        <v>8748985</v>
      </c>
      <c r="H12" s="3" t="n">
        <v>1289701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2026-09-27T21:45:46Z</dcterms:created>
  <dcterms:modified xsi:type="dcterms:W3CDTF">2026-09-27T21:45:47Z</dcterms:modified>
</cp:coreProperties>
</file>